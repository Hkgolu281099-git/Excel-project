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RAJ-HK-2810\Downloads\"/>
    </mc:Choice>
  </mc:AlternateContent>
  <xr:revisionPtr revIDLastSave="0" documentId="13_ncr:1_{2C56818C-15E9-49A9-83AF-4FE2140E72E5}" xr6:coauthVersionLast="47" xr6:coauthVersionMax="47" xr10:uidLastSave="{00000000-0000-0000-0000-000000000000}"/>
  <bookViews>
    <workbookView xWindow="-120" yWindow="-120" windowWidth="20730" windowHeight="11160" activeTab="3" xr2:uid="{00000000-000D-0000-FFFF-FFFF00000000}"/>
  </bookViews>
  <sheets>
    <sheet name="Dashboard2" sheetId="2" r:id="rId1"/>
    <sheet name="Clint" sheetId="3" r:id="rId2"/>
    <sheet name="Control" sheetId="4" r:id="rId3"/>
    <sheet name="Processing" sheetId="5" r:id="rId4"/>
    <sheet name="Dashboard" sheetId="6" r:id="rId5"/>
    <sheet name="Summary" sheetId="7" r:id="rId6"/>
    <sheet name="Sales Data" sheetId="1" r:id="rId7"/>
  </sheets>
  <definedNames>
    <definedName name="MyData">Clint!$A$1:$F$51</definedName>
    <definedName name="Sdata">'Sales Data'!$A$1:$K$51</definedName>
    <definedName name="Slicer_Department">#N/A</definedName>
    <definedName name="Slicer_Name_of_Month">#N/A</definedName>
    <definedName name="Slicer_Product_Name">#N/A</definedName>
    <definedName name="Slicer_Region">#N/A</definedName>
    <definedName name="Slicer_Year">#N/A</definedName>
  </definedNames>
  <calcPr calcId="191029"/>
  <pivotCaches>
    <pivotCache cacheId="2"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7" l="1"/>
  <c r="K4" i="7"/>
  <c r="K5" i="7"/>
  <c r="K6" i="7"/>
  <c r="K7" i="7"/>
  <c r="K8" i="7"/>
  <c r="K9" i="7"/>
  <c r="K10" i="7"/>
  <c r="K11" i="7"/>
  <c r="K12" i="7"/>
  <c r="K13" i="7"/>
  <c r="K14" i="7"/>
  <c r="K15" i="7"/>
  <c r="K3" i="7"/>
  <c r="I3" i="7"/>
  <c r="G4" i="7"/>
  <c r="G5" i="7"/>
  <c r="G6" i="7"/>
  <c r="G3" i="7"/>
  <c r="I4" i="7"/>
  <c r="I5" i="7"/>
  <c r="I6" i="7"/>
  <c r="E3" i="7"/>
  <c r="E4" i="7"/>
  <c r="E5" i="7"/>
  <c r="E6" i="7"/>
  <c r="E7" i="7"/>
  <c r="E8" i="7"/>
  <c r="E9" i="7"/>
  <c r="E10" i="7"/>
  <c r="B4" i="7"/>
  <c r="B5" i="7"/>
  <c r="B6" i="7"/>
  <c r="B7" i="7"/>
  <c r="B8" i="7"/>
  <c r="B9" i="7"/>
  <c r="B10" i="7"/>
  <c r="B11" i="7"/>
  <c r="B12" i="7"/>
  <c r="B3" i="7"/>
  <c r="T3" i="1"/>
  <c r="T4" i="1"/>
  <c r="T5" i="1"/>
  <c r="T6" i="1"/>
  <c r="T7" i="1"/>
  <c r="T8" i="1"/>
  <c r="T9" i="1"/>
  <c r="T10" i="1"/>
  <c r="T11" i="1"/>
  <c r="T12" i="1"/>
  <c r="T13" i="1"/>
  <c r="T14" i="1"/>
  <c r="T15" i="1"/>
  <c r="T16" i="1"/>
  <c r="T17" i="1"/>
  <c r="T18" i="1"/>
  <c r="T19" i="1"/>
  <c r="T20" i="1"/>
  <c r="T2" i="1"/>
  <c r="Q3" i="1"/>
  <c r="Q4" i="1"/>
  <c r="Q5" i="1"/>
  <c r="Q6" i="1"/>
  <c r="Q7" i="1"/>
  <c r="Q2" i="1"/>
  <c r="N4" i="7"/>
  <c r="N5" i="7"/>
  <c r="N6" i="7"/>
  <c r="N7" i="7"/>
  <c r="N8" i="7"/>
  <c r="N9" i="7"/>
  <c r="N10" i="7"/>
  <c r="N11" i="7"/>
  <c r="N12" i="7"/>
  <c r="N13" i="7"/>
  <c r="N14" i="7"/>
  <c r="N15" i="7"/>
  <c r="N16" i="7"/>
  <c r="N17" i="7"/>
  <c r="N18" i="7"/>
  <c r="N19" i="7"/>
  <c r="N3" i="7"/>
  <c r="N3" i="1"/>
  <c r="N4" i="1"/>
  <c r="N5" i="1"/>
  <c r="N6" i="1"/>
  <c r="N7" i="1"/>
  <c r="N8" i="1"/>
  <c r="N9" i="1"/>
  <c r="N10" i="1"/>
  <c r="N11" i="1"/>
  <c r="N12" i="1"/>
  <c r="N13" i="1"/>
  <c r="N14" i="1"/>
  <c r="N15" i="1"/>
  <c r="N16" i="1"/>
  <c r="N17" i="1"/>
  <c r="N18" i="1"/>
  <c r="N2" i="1"/>
  <c r="D3" i="5"/>
  <c r="D4" i="5"/>
  <c r="C12" i="5"/>
  <c r="C11" i="5"/>
  <c r="C13" i="5"/>
  <c r="C8" i="5"/>
  <c r="C4" i="5"/>
  <c r="C7" i="5"/>
  <c r="C6" i="5"/>
  <c r="C5" i="5"/>
  <c r="C14" i="5"/>
  <c r="C10" i="5"/>
  <c r="C9" i="5"/>
  <c r="D5" i="5"/>
  <c r="D6" i="5"/>
  <c r="D7" i="5"/>
  <c r="D11" i="5"/>
  <c r="D9" i="5"/>
  <c r="D10" i="5"/>
  <c r="D8" i="5"/>
  <c r="D12" i="5"/>
  <c r="D13" i="5"/>
  <c r="D14" i="5"/>
  <c r="E13" i="5" l="1"/>
  <c r="E9" i="5"/>
  <c r="E5" i="5"/>
  <c r="E12" i="5"/>
  <c r="E8" i="5"/>
  <c r="D15" i="5"/>
  <c r="E4" i="5"/>
  <c r="E11" i="5"/>
  <c r="E7" i="5"/>
  <c r="E14" i="5"/>
  <c r="E10" i="5"/>
  <c r="E6" i="5"/>
  <c r="E3" i="5"/>
</calcChain>
</file>

<file path=xl/sharedStrings.xml><?xml version="1.0" encoding="utf-8"?>
<sst xmlns="http://schemas.openxmlformats.org/spreadsheetml/2006/main" count="725" uniqueCount="144">
  <si>
    <t>Order ID</t>
  </si>
  <si>
    <t>Order Date</t>
  </si>
  <si>
    <t>Month</t>
  </si>
  <si>
    <t>Customer Name</t>
  </si>
  <si>
    <t>City</t>
  </si>
  <si>
    <t>Region</t>
  </si>
  <si>
    <t>Product Category</t>
  </si>
  <si>
    <t>Product Name</t>
  </si>
  <si>
    <t>Sales Amount</t>
  </si>
  <si>
    <t>Quantity</t>
  </si>
  <si>
    <t>Salesperson</t>
  </si>
  <si>
    <t>09-01-2025</t>
  </si>
  <si>
    <t>January</t>
  </si>
  <si>
    <t>Patna</t>
  </si>
  <si>
    <t>East</t>
  </si>
  <si>
    <t>Grocery</t>
  </si>
  <si>
    <t>Rice</t>
  </si>
  <si>
    <t>Sneha</t>
  </si>
  <si>
    <t>09-08-2025</t>
  </si>
  <si>
    <t>August</t>
  </si>
  <si>
    <t>Bangalore</t>
  </si>
  <si>
    <t>South</t>
  </si>
  <si>
    <t>Electronics</t>
  </si>
  <si>
    <t>Headphones</t>
  </si>
  <si>
    <t>Neha</t>
  </si>
  <si>
    <t>22-10-2025</t>
  </si>
  <si>
    <t>October</t>
  </si>
  <si>
    <t>Kolkata</t>
  </si>
  <si>
    <t>Oil</t>
  </si>
  <si>
    <t>Priya</t>
  </si>
  <si>
    <t>26-04-2025</t>
  </si>
  <si>
    <t>April</t>
  </si>
  <si>
    <t>Mumbai</t>
  </si>
  <si>
    <t>West</t>
  </si>
  <si>
    <t>Tablet</t>
  </si>
  <si>
    <t>Amit</t>
  </si>
  <si>
    <t>16-04-2025</t>
  </si>
  <si>
    <t>Chennai</t>
  </si>
  <si>
    <t>Clothing</t>
  </si>
  <si>
    <t>T-Shirt</t>
  </si>
  <si>
    <t>13-01-2025</t>
  </si>
  <si>
    <t>Jeans</t>
  </si>
  <si>
    <t>Vikas</t>
  </si>
  <si>
    <t>05-06-2025</t>
  </si>
  <si>
    <t>June</t>
  </si>
  <si>
    <t>Sugar</t>
  </si>
  <si>
    <t>05-10-2025</t>
  </si>
  <si>
    <t>13-05-2025</t>
  </si>
  <si>
    <t>May</t>
  </si>
  <si>
    <t>Jacket</t>
  </si>
  <si>
    <t>23-04-2025</t>
  </si>
  <si>
    <t>Furniture</t>
  </si>
  <si>
    <t>Wardrobe</t>
  </si>
  <si>
    <t>10-05-2025</t>
  </si>
  <si>
    <t>Lucknow</t>
  </si>
  <si>
    <t>North</t>
  </si>
  <si>
    <t>Table</t>
  </si>
  <si>
    <t>18-09-2025</t>
  </si>
  <si>
    <t>September</t>
  </si>
  <si>
    <t>Shirt</t>
  </si>
  <si>
    <t>31-01-2025</t>
  </si>
  <si>
    <t>15-01-2025</t>
  </si>
  <si>
    <t>20-04-2025</t>
  </si>
  <si>
    <t>17-06-2025</t>
  </si>
  <si>
    <t>28-06-2025</t>
  </si>
  <si>
    <t>04-07-2025</t>
  </si>
  <si>
    <t>July</t>
  </si>
  <si>
    <t>18-06-2025</t>
  </si>
  <si>
    <t>17-01-2025</t>
  </si>
  <si>
    <t>Delhi</t>
  </si>
  <si>
    <t>20-01-2025</t>
  </si>
  <si>
    <t>24-09-2025</t>
  </si>
  <si>
    <t>12-03-2025</t>
  </si>
  <si>
    <t>March</t>
  </si>
  <si>
    <t>Chair</t>
  </si>
  <si>
    <t>Rahul</t>
  </si>
  <si>
    <t>06-07-2025</t>
  </si>
  <si>
    <t>Hyderabad</t>
  </si>
  <si>
    <t>02-07-2025</t>
  </si>
  <si>
    <t>25-07-2025</t>
  </si>
  <si>
    <t>14-08-2025</t>
  </si>
  <si>
    <t>25-04-2025</t>
  </si>
  <si>
    <t>09-04-2025</t>
  </si>
  <si>
    <t>22-02-2025</t>
  </si>
  <si>
    <t>February</t>
  </si>
  <si>
    <t>11-04-2025</t>
  </si>
  <si>
    <t>10-08-2025</t>
  </si>
  <si>
    <t>Laptop</t>
  </si>
  <si>
    <t>27-05-2025</t>
  </si>
  <si>
    <t>07-05-2025</t>
  </si>
  <si>
    <t>05-04-2025</t>
  </si>
  <si>
    <t>08-03-2025</t>
  </si>
  <si>
    <t>17-08-2025</t>
  </si>
  <si>
    <t>14-06-2025</t>
  </si>
  <si>
    <t>Sofa</t>
  </si>
  <si>
    <t>18-07-2025</t>
  </si>
  <si>
    <t>15-04-2025</t>
  </si>
  <si>
    <t>02-03-2025</t>
  </si>
  <si>
    <t>04-06-2025</t>
  </si>
  <si>
    <t>12-06-2025</t>
  </si>
  <si>
    <t>16-07-2025</t>
  </si>
  <si>
    <t>10-09-2025</t>
  </si>
  <si>
    <t>14-10-2025</t>
  </si>
  <si>
    <t>07-02-2025</t>
  </si>
  <si>
    <t>Nisha Patel</t>
  </si>
  <si>
    <t>Manish Tiwari</t>
  </si>
  <si>
    <t>Sonia Kumari</t>
  </si>
  <si>
    <t>Deepak Yadav</t>
  </si>
  <si>
    <t>Rohit Kumar</t>
  </si>
  <si>
    <t>Sneha Roy</t>
  </si>
  <si>
    <t>Rahul Yadav</t>
  </si>
  <si>
    <t>Kavita Joshi</t>
  </si>
  <si>
    <t>Riya Das</t>
  </si>
  <si>
    <t>Neha Singh</t>
  </si>
  <si>
    <t>Pooja Verma</t>
  </si>
  <si>
    <t>Amit Sharma</t>
  </si>
  <si>
    <t>Ankit Gupta</t>
  </si>
  <si>
    <t>Harsh Agarwal</t>
  </si>
  <si>
    <t>Simran Kaur</t>
  </si>
  <si>
    <t>Arjun Mehta</t>
  </si>
  <si>
    <t>Vikas Singh</t>
  </si>
  <si>
    <t>Row Labels</t>
  </si>
  <si>
    <t>Grand Total</t>
  </si>
  <si>
    <t>Sales Person</t>
  </si>
  <si>
    <t xml:space="preserve"> Sales Amount</t>
  </si>
  <si>
    <t>Year</t>
  </si>
  <si>
    <t>Name of Month</t>
  </si>
  <si>
    <t>Department</t>
  </si>
  <si>
    <t>Influx of New Client</t>
  </si>
  <si>
    <t>Target Achieved</t>
  </si>
  <si>
    <t>December</t>
  </si>
  <si>
    <t>HR</t>
  </si>
  <si>
    <t>Yes</t>
  </si>
  <si>
    <t>IT</t>
  </si>
  <si>
    <t>November</t>
  </si>
  <si>
    <t>Sales</t>
  </si>
  <si>
    <t>No</t>
  </si>
  <si>
    <t>Marketing</t>
  </si>
  <si>
    <t>(All)</t>
  </si>
  <si>
    <t>Sum of Influx of New Client</t>
  </si>
  <si>
    <t>Clients</t>
  </si>
  <si>
    <t>Level2</t>
  </si>
  <si>
    <t>Markers</t>
  </si>
  <si>
    <r>
      <t xml:space="preserve">                                                                                                                                                                         </t>
    </r>
    <r>
      <rPr>
        <b/>
        <sz val="11"/>
        <color theme="1"/>
        <rFont val="Calibri"/>
        <family val="2"/>
        <scheme val="minor"/>
      </rPr>
      <t xml:space="preserve">   CLEAN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</si>
</sst>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sz val="8"/>
      <name val="Calibri"/>
      <family val="2"/>
      <scheme val="minor"/>
    </font>
    <font>
      <b/>
      <sz val="11"/>
      <color theme="2"/>
      <name val="Calibri"/>
      <family val="2"/>
      <scheme val="minor"/>
    </font>
    <font>
      <sz val="11"/>
      <color theme="2"/>
      <name val="Calibri"/>
      <family val="2"/>
      <scheme val="minor"/>
    </font>
    <font>
      <b/>
      <sz val="11"/>
      <color rgb="FFFFFF00"/>
      <name val="Calibri"/>
      <family val="2"/>
      <scheme val="minor"/>
    </font>
  </fonts>
  <fills count="6">
    <fill>
      <patternFill patternType="none"/>
    </fill>
    <fill>
      <patternFill patternType="gray125"/>
    </fill>
    <fill>
      <patternFill patternType="solid">
        <fgColor theme="8"/>
        <bgColor indexed="64"/>
      </patternFill>
    </fill>
    <fill>
      <patternFill patternType="solid">
        <fgColor theme="2" tint="-0.499984740745262"/>
        <bgColor indexed="64"/>
      </patternFill>
    </fill>
    <fill>
      <patternFill patternType="solid">
        <fgColor theme="1" tint="0.34998626667073579"/>
        <bgColor indexed="64"/>
      </patternFill>
    </fill>
    <fill>
      <patternFill patternType="solid">
        <fgColor theme="9"/>
        <bgColor indexed="64"/>
      </patternFill>
    </fill>
  </fills>
  <borders count="1">
    <border>
      <left/>
      <right/>
      <top/>
      <bottom/>
      <diagonal/>
    </border>
  </borders>
  <cellStyleXfs count="1">
    <xf numFmtId="0" fontId="0" fillId="0" borderId="0"/>
  </cellStyleXfs>
  <cellXfs count="16">
    <xf numFmtId="0" fontId="0" fillId="0" borderId="0" xfId="0"/>
    <xf numFmtId="0" fontId="0" fillId="2" borderId="0" xfId="0" applyFill="1"/>
    <xf numFmtId="0" fontId="0" fillId="2" borderId="0" xfId="0" applyFill="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3" borderId="0" xfId="0" applyFill="1"/>
    <xf numFmtId="0" fontId="4" fillId="0" borderId="0" xfId="0" applyFont="1"/>
    <xf numFmtId="0" fontId="3" fillId="4" borderId="0" xfId="0" applyFont="1" applyFill="1"/>
    <xf numFmtId="0" fontId="5" fillId="4"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0" fillId="5" borderId="0" xfId="0" applyFill="1"/>
    <xf numFmtId="0" fontId="5" fillId="4" borderId="0" xfId="0" applyFont="1" applyFill="1" applyAlignment="1">
      <alignment horizontal="center" vertical="center"/>
    </xf>
    <xf numFmtId="0" fontId="0" fillId="0" borderId="0" xfId="0" applyAlignment="1">
      <alignment horizontal="center"/>
    </xf>
    <xf numFmtId="0" fontId="0" fillId="5" borderId="0" xfId="0" applyFill="1"/>
  </cellXfs>
  <cellStyles count="1">
    <cellStyle name="Normal" xfId="0" builtinId="0"/>
  </cellStyles>
  <dxfs count="70">
    <dxf>
      <font>
        <color rgb="FFFFFF00"/>
      </font>
    </dxf>
    <dxf>
      <font>
        <color rgb="FFFFFF00"/>
      </font>
    </dxf>
    <dxf>
      <font>
        <color rgb="FFFFFF00"/>
      </font>
    </dxf>
    <dxf>
      <font>
        <color rgb="FFFFFF00"/>
      </font>
    </dxf>
    <dxf>
      <font>
        <color rgb="FFFFFF00"/>
      </font>
    </dxf>
    <dxf>
      <font>
        <color rgb="FFFFFF00"/>
      </font>
    </dxf>
    <dxf>
      <font>
        <b/>
      </font>
    </dxf>
    <dxf>
      <font>
        <b/>
      </font>
    </dxf>
    <dxf>
      <font>
        <b/>
      </font>
    </dxf>
    <dxf>
      <font>
        <b/>
      </font>
    </dxf>
    <dxf>
      <font>
        <b/>
      </font>
    </dxf>
    <dxf>
      <font>
        <b/>
      </fon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2"/>
      </font>
    </dxf>
    <dxf>
      <font>
        <color theme="2"/>
      </font>
    </dxf>
    <dxf>
      <font>
        <color theme="2"/>
      </font>
    </dxf>
    <dxf>
      <font>
        <color theme="2"/>
      </font>
    </dxf>
    <dxf>
      <font>
        <color theme="2"/>
      </font>
    </dxf>
    <dxf>
      <font>
        <color theme="2"/>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vertical="center"/>
    </dxf>
    <dxf>
      <alignment horizontal="center"/>
    </dxf>
    <dxf>
      <alignment horizontal="center"/>
    </dxf>
    <dxf>
      <alignment horizontal="center"/>
    </dxf>
    <dxf>
      <font>
        <color rgb="FFFFFF00"/>
      </font>
    </dxf>
    <dxf>
      <font>
        <color rgb="FFFFFF00"/>
      </font>
    </dxf>
    <dxf>
      <font>
        <color rgb="FFFFFF00"/>
      </font>
    </dxf>
    <dxf>
      <font>
        <color rgb="FFFFFF00"/>
      </font>
    </dxf>
    <dxf>
      <font>
        <color rgb="FFFFFF00"/>
      </font>
    </dxf>
    <dxf>
      <font>
        <color rgb="FFFFFF00"/>
      </font>
    </dxf>
    <dxf>
      <font>
        <b/>
      </font>
    </dxf>
    <dxf>
      <font>
        <b/>
      </font>
    </dxf>
    <dxf>
      <font>
        <b/>
      </font>
    </dxf>
    <dxf>
      <font>
        <b/>
      </font>
    </dxf>
    <dxf>
      <font>
        <b/>
      </font>
    </dxf>
    <dxf>
      <font>
        <b/>
      </fon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2"/>
      </font>
    </dxf>
    <dxf>
      <font>
        <color theme="2"/>
      </font>
    </dxf>
    <dxf>
      <font>
        <color theme="2"/>
      </font>
    </dxf>
    <dxf>
      <font>
        <color theme="2"/>
      </font>
    </dxf>
    <dxf>
      <font>
        <color theme="2"/>
      </font>
    </dxf>
    <dxf>
      <font>
        <color theme="2"/>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5" defaultTableStyle="TableStyleMedium9" defaultPivotStyle="PivotStyleLight16">
    <tableStyle name="Slicer Style 1" pivot="0" table="0" count="9" xr9:uid="{E3CE7D81-46B7-4A74-816E-9CAF091601E2}">
      <tableStyleElement type="headerRow" dxfId="69"/>
    </tableStyle>
    <tableStyle name="Slicer Style 2" pivot="0" table="0" count="1" xr9:uid="{2A154A39-F6F7-4BCF-B968-28F541399CF7}">
      <tableStyleElement type="wholeTable" dxfId="68"/>
    </tableStyle>
    <tableStyle name="Slicer Style 3" pivot="0" table="0" count="2" xr9:uid="{830E47D2-3DE1-4774-B4EA-91B32E6B35C1}">
      <tableStyleElement type="headerRow" dxfId="67"/>
    </tableStyle>
    <tableStyle name="Slicer Style 4" pivot="0" table="0" count="3" xr9:uid="{94AAFAED-6A5B-46B6-8465-395D66C5D0C8}">
      <tableStyleElement type="headerRow" dxfId="66"/>
    </tableStyle>
    <tableStyle name="Slicer Style 5" pivot="0" table="0" count="5" xr9:uid="{FF0D42F5-D096-487D-B9BF-CD8125BBEB6E}">
      <tableStyleElement type="headerRow" dxfId="65"/>
    </tableStyle>
  </tableStyles>
  <colors>
    <mruColors>
      <color rgb="FFAADCD7"/>
      <color rgb="FF006666"/>
      <color rgb="FF8158DA"/>
      <color rgb="FF232227"/>
      <color rgb="FF02C7B3"/>
    </mruColors>
  </colors>
  <extLst>
    <ext xmlns:x14="http://schemas.microsoft.com/office/spreadsheetml/2009/9/main" uri="{46F421CA-312F-682f-3DD2-61675219B42D}">
      <x14:dxfs count="15">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0"/>
            </patternFill>
          </fill>
        </dxf>
        <dxf>
          <fill>
            <patternFill>
              <bgColor theme="4" tint="0.39994506668294322"/>
            </patternFill>
          </fill>
        </dxf>
        <dxf>
          <fill>
            <patternFill>
              <bgColor theme="7" tint="-0.24994659260841701"/>
            </patternFill>
          </fill>
        </dxf>
        <dxf>
          <fill>
            <patternFill>
              <bgColor theme="7" tint="0.39994506668294322"/>
            </patternFill>
          </fill>
        </dxf>
        <dxf>
          <fill>
            <patternFill>
              <bgColor theme="5" tint="0.39994506668294322"/>
            </patternFill>
          </fill>
        </dxf>
        <dxf>
          <fill>
            <patternFill>
              <bgColor rgb="FF92D050"/>
            </patternFill>
          </fill>
        </dxf>
        <dxf>
          <fill>
            <patternFill>
              <bgColor theme="9" tint="-0.24994659260841701"/>
            </patternFill>
          </fill>
        </dxf>
        <dxf>
          <fill>
            <patternFill>
              <bgColor theme="9" tint="0.39994506668294322"/>
            </patternFill>
          </fill>
        </dxf>
        <dxf>
          <fill>
            <patternFill>
              <bgColor theme="3"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UnselectedItemWithNoData" dxfId="8"/>
            <x14:slicerStyleElement type="hoveredSelectedItemWithNoData" dxfId="7"/>
          </x14:slicerStyleElements>
        </x14:slicerStyle>
        <x14:slicerStyle name="Slicer Style 2"/>
        <x14:slicerStyle name="Slicer Style 3">
          <x14:slicerStyleElements>
            <x14:slicerStyleElement type="selectedItemWithData" dxfId="6"/>
          </x14:slicerStyleElements>
        </x14:slicerStyle>
        <x14:slicerStyle name="Slicer Style 4">
          <x14:slicerStyleElements>
            <x14:slicerStyleElement type="unselectedItemWithData" dxfId="5"/>
            <x14:slicerStyleElement type="selectedItemWithData" dxfId="4"/>
          </x14:slicerStyleElements>
        </x14:slicerStyle>
        <x14:slicerStyle name="Slicer Style 5">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(1).xlsx]Dashboard2!PivotTable1</c:name>
    <c:fmtId val="3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67764005988131"/>
          <c:y val="4.9900911330062796E-2"/>
          <c:w val="0.68158748906386701"/>
          <c:h val="0.53774387576552929"/>
        </c:manualLayout>
      </c:layout>
      <c:bar3DChart>
        <c:barDir val="col"/>
        <c:grouping val="standard"/>
        <c:varyColors val="0"/>
        <c:ser>
          <c:idx val="0"/>
          <c:order val="0"/>
          <c:tx>
            <c:strRef>
              <c:f>Dashboard2!$E$15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Dashboard2!$D$16:$D$20</c:f>
              <c:strCache>
                <c:ptCount val="4"/>
                <c:pt idx="0">
                  <c:v>Amit</c:v>
                </c:pt>
                <c:pt idx="1">
                  <c:v>Priya</c:v>
                </c:pt>
                <c:pt idx="2">
                  <c:v>Sneha</c:v>
                </c:pt>
                <c:pt idx="3">
                  <c:v>Vikas</c:v>
                </c:pt>
              </c:strCache>
            </c:strRef>
          </c:cat>
          <c:val>
            <c:numRef>
              <c:f>Dashboard2!$E$16:$E$20</c:f>
              <c:numCache>
                <c:formatCode>General</c:formatCode>
                <c:ptCount val="4"/>
                <c:pt idx="0">
                  <c:v>22369</c:v>
                </c:pt>
                <c:pt idx="1">
                  <c:v>67894</c:v>
                </c:pt>
                <c:pt idx="2">
                  <c:v>104358</c:v>
                </c:pt>
                <c:pt idx="3">
                  <c:v>18008</c:v>
                </c:pt>
              </c:numCache>
            </c:numRef>
          </c:val>
          <c:extLst>
            <c:ext xmlns:c16="http://schemas.microsoft.com/office/drawing/2014/chart" uri="{C3380CC4-5D6E-409C-BE32-E72D297353CC}">
              <c16:uniqueId val="{00000000-E3AD-41FD-BEF1-41E903A95376}"/>
            </c:ext>
          </c:extLst>
        </c:ser>
        <c:dLbls>
          <c:showLegendKey val="0"/>
          <c:showVal val="0"/>
          <c:showCatName val="0"/>
          <c:showSerName val="0"/>
          <c:showPercent val="0"/>
          <c:showBubbleSize val="0"/>
        </c:dLbls>
        <c:gapWidth val="150"/>
        <c:shape val="box"/>
        <c:axId val="1109599296"/>
        <c:axId val="1109616576"/>
        <c:axId val="970458304"/>
      </c:bar3DChart>
      <c:catAx>
        <c:axId val="1109599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9616576"/>
        <c:crosses val="autoZero"/>
        <c:auto val="1"/>
        <c:lblAlgn val="ctr"/>
        <c:lblOffset val="100"/>
        <c:noMultiLvlLbl val="0"/>
      </c:catAx>
      <c:valAx>
        <c:axId val="11096165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09599296"/>
        <c:crosses val="autoZero"/>
        <c:crossBetween val="between"/>
      </c:valAx>
      <c:serAx>
        <c:axId val="9704583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96165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(1).xlsx]Dashboard2!PivotTable2</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953777291173701E-2"/>
          <c:y val="2.0728014761978988E-3"/>
          <c:w val="0.89469103568320274"/>
          <c:h val="0.8638228936547856"/>
        </c:manualLayout>
      </c:layout>
      <c:pie3DChart>
        <c:varyColors val="1"/>
        <c:ser>
          <c:idx val="0"/>
          <c:order val="0"/>
          <c:tx>
            <c:strRef>
              <c:f>Dashboard2!$G$15</c:f>
              <c:strCache>
                <c:ptCount val="1"/>
                <c:pt idx="0">
                  <c:v>Total</c:v>
                </c:pt>
              </c:strCache>
            </c:strRef>
          </c:tx>
          <c:explosion val="2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B81-494F-8B0F-E36B59E1C10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B81-494F-8B0F-E36B59E1C10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B81-494F-8B0F-E36B59E1C10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B81-494F-8B0F-E36B59E1C109}"/>
              </c:ext>
            </c:extLst>
          </c:dPt>
          <c:dPt>
            <c:idx val="4"/>
            <c:bubble3D val="0"/>
            <c:explosion val="7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B81-494F-8B0F-E36B59E1C10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B81-494F-8B0F-E36B59E1C109}"/>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B81-494F-8B0F-E36B59E1C109}"/>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8B81-494F-8B0F-E36B59E1C109}"/>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8B81-494F-8B0F-E36B59E1C109}"/>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8B81-494F-8B0F-E36B59E1C109}"/>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5092-4DBB-8F5E-32774BC37480}"/>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5092-4DBB-8F5E-32774BC37480}"/>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5092-4DBB-8F5E-32774BC37480}"/>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5092-4DBB-8F5E-32774BC37480}"/>
              </c:ext>
            </c:extLst>
          </c:dPt>
          <c:cat>
            <c:strRef>
              <c:f>Dashboard2!$F$16:$F$21</c:f>
              <c:strCache>
                <c:ptCount val="5"/>
                <c:pt idx="0">
                  <c:v>Headphones</c:v>
                </c:pt>
                <c:pt idx="1">
                  <c:v>Jeans</c:v>
                </c:pt>
                <c:pt idx="2">
                  <c:v>Shirt</c:v>
                </c:pt>
                <c:pt idx="3">
                  <c:v>Sugar</c:v>
                </c:pt>
                <c:pt idx="4">
                  <c:v>T-Shirt</c:v>
                </c:pt>
              </c:strCache>
            </c:strRef>
          </c:cat>
          <c:val>
            <c:numRef>
              <c:f>Dashboard2!$G$16:$G$21</c:f>
              <c:numCache>
                <c:formatCode>General</c:formatCode>
                <c:ptCount val="5"/>
                <c:pt idx="0">
                  <c:v>151821</c:v>
                </c:pt>
                <c:pt idx="1">
                  <c:v>105414</c:v>
                </c:pt>
                <c:pt idx="2">
                  <c:v>73537</c:v>
                </c:pt>
                <c:pt idx="3">
                  <c:v>76617</c:v>
                </c:pt>
                <c:pt idx="4">
                  <c:v>70983</c:v>
                </c:pt>
              </c:numCache>
            </c:numRef>
          </c:val>
          <c:extLst>
            <c:ext xmlns:c16="http://schemas.microsoft.com/office/drawing/2014/chart" uri="{C3380CC4-5D6E-409C-BE32-E72D297353CC}">
              <c16:uniqueId val="{00000000-EED8-4374-AB18-97CB579184C6}"/>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Project (1).xlsx]Dashboard2!PivotTable1</c:name>
    <c:fmtId val="44"/>
  </c:pivotSource>
  <c:chart>
    <c:autoTitleDeleted val="1"/>
    <c:pivotFmts>
      <c:pivotFmt>
        <c:idx val="0"/>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84954550480902"/>
          <c:y val="0.22425885288929048"/>
          <c:w val="0.79858487571388848"/>
          <c:h val="0.46260602670567819"/>
        </c:manualLayout>
      </c:layout>
      <c:lineChart>
        <c:grouping val="standard"/>
        <c:varyColors val="0"/>
        <c:ser>
          <c:idx val="0"/>
          <c:order val="0"/>
          <c:tx>
            <c:strRef>
              <c:f>Dashboard2!$E$15</c:f>
              <c:strCache>
                <c:ptCount val="1"/>
                <c:pt idx="0">
                  <c:v>Total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a:solidFill>
                  <a:schemeClr val="lt1">
                    <a:lumMod val="50000"/>
                  </a:schemeClr>
                </a:solidFill>
                <a:round/>
              </a:ln>
              <a:effectLst/>
            </c:spPr>
          </c:errBars>
          <c:cat>
            <c:strRef>
              <c:f>Dashboard2!$D$16:$D$20</c:f>
              <c:strCache>
                <c:ptCount val="4"/>
                <c:pt idx="0">
                  <c:v>Amit</c:v>
                </c:pt>
                <c:pt idx="1">
                  <c:v>Priya</c:v>
                </c:pt>
                <c:pt idx="2">
                  <c:v>Sneha</c:v>
                </c:pt>
                <c:pt idx="3">
                  <c:v>Vikas</c:v>
                </c:pt>
              </c:strCache>
            </c:strRef>
          </c:cat>
          <c:val>
            <c:numRef>
              <c:f>Dashboard2!$E$16:$E$20</c:f>
              <c:numCache>
                <c:formatCode>General</c:formatCode>
                <c:ptCount val="4"/>
                <c:pt idx="0">
                  <c:v>22369</c:v>
                </c:pt>
                <c:pt idx="1">
                  <c:v>67894</c:v>
                </c:pt>
                <c:pt idx="2">
                  <c:v>104358</c:v>
                </c:pt>
                <c:pt idx="3">
                  <c:v>18008</c:v>
                </c:pt>
              </c:numCache>
            </c:numRef>
          </c:val>
          <c:smooth val="0"/>
          <c:extLst>
            <c:ext xmlns:c16="http://schemas.microsoft.com/office/drawing/2014/chart" uri="{C3380CC4-5D6E-409C-BE32-E72D297353CC}">
              <c16:uniqueId val="{00000000-BA91-4A9A-B31A-E22D8C326EAB}"/>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117743008"/>
        <c:axId val="1117765568"/>
      </c:lineChart>
      <c:catAx>
        <c:axId val="11177430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117765568"/>
        <c:crosses val="autoZero"/>
        <c:auto val="1"/>
        <c:lblAlgn val="ctr"/>
        <c:lblOffset val="100"/>
        <c:noMultiLvlLbl val="0"/>
      </c:catAx>
      <c:valAx>
        <c:axId val="1117765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7743008"/>
        <c:crosses val="autoZero"/>
        <c:crossBetween val="between"/>
      </c:valAx>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solidFill>
            <a:schemeClr val="dk1">
              <a:shade val="95000"/>
              <a:satMod val="105000"/>
            </a:schemeClr>
          </a:solidFill>
          <a:prstDash val="solid"/>
        </a:ln>
        <a:effectLst>
          <a:outerShdw blurRad="40000" dist="23000" dir="5400000" rotWithShape="0">
            <a:srgbClr val="000000">
              <a:alpha val="35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(1).xlsx]Dashboard2!PivotTable1</c:name>
    <c:fmtId val="72"/>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252814569278247"/>
          <c:y val="7.2625994312437256E-2"/>
          <c:w val="0.5956472742639809"/>
          <c:h val="0.71849981519026307"/>
        </c:manualLayout>
      </c:layout>
      <c:doughnutChart>
        <c:varyColors val="1"/>
        <c:ser>
          <c:idx val="0"/>
          <c:order val="0"/>
          <c:tx>
            <c:strRef>
              <c:f>Dashboard2!$E$15</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2A0-4F7E-902A-98A188799032}"/>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2A0-4F7E-902A-98A188799032}"/>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3EB-4A7E-A001-33BB0FC1CA00}"/>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3EB-4A7E-A001-33BB0FC1CA00}"/>
              </c:ext>
            </c:extLst>
          </c:dPt>
          <c:dPt>
            <c:idx val="4"/>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550-4FDC-AA3A-D1239B0EAE5E}"/>
              </c:ext>
            </c:extLst>
          </c:dPt>
          <c:dPt>
            <c:idx val="5"/>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550-4FDC-AA3A-D1239B0EAE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Dashboard2!$D$16:$D$20</c:f>
              <c:strCache>
                <c:ptCount val="4"/>
                <c:pt idx="0">
                  <c:v>Amit</c:v>
                </c:pt>
                <c:pt idx="1">
                  <c:v>Priya</c:v>
                </c:pt>
                <c:pt idx="2">
                  <c:v>Sneha</c:v>
                </c:pt>
                <c:pt idx="3">
                  <c:v>Vikas</c:v>
                </c:pt>
              </c:strCache>
            </c:strRef>
          </c:cat>
          <c:val>
            <c:numRef>
              <c:f>Dashboard2!$E$16:$E$20</c:f>
              <c:numCache>
                <c:formatCode>General</c:formatCode>
                <c:ptCount val="4"/>
                <c:pt idx="0">
                  <c:v>22369</c:v>
                </c:pt>
                <c:pt idx="1">
                  <c:v>67894</c:v>
                </c:pt>
                <c:pt idx="2">
                  <c:v>104358</c:v>
                </c:pt>
                <c:pt idx="3">
                  <c:v>18008</c:v>
                </c:pt>
              </c:numCache>
            </c:numRef>
          </c:val>
          <c:extLst>
            <c:ext xmlns:c16="http://schemas.microsoft.com/office/drawing/2014/chart" uri="{C3380CC4-5D6E-409C-BE32-E72D297353CC}">
              <c16:uniqueId val="{00000000-B1FA-4765-B0A8-11E6E0CBB1FB}"/>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(1).xlsx]Dashboard2!PivotTable2</c:name>
    <c:fmtId val="8"/>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Dashboard2!$G$15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Dashboard2!$F$16:$F$21</c:f>
              <c:strCache>
                <c:ptCount val="5"/>
                <c:pt idx="0">
                  <c:v>Headphones</c:v>
                </c:pt>
                <c:pt idx="1">
                  <c:v>Jeans</c:v>
                </c:pt>
                <c:pt idx="2">
                  <c:v>Shirt</c:v>
                </c:pt>
                <c:pt idx="3">
                  <c:v>Sugar</c:v>
                </c:pt>
                <c:pt idx="4">
                  <c:v>T-Shirt</c:v>
                </c:pt>
              </c:strCache>
            </c:strRef>
          </c:cat>
          <c:val>
            <c:numRef>
              <c:f>Dashboard2!$G$16:$G$21</c:f>
              <c:numCache>
                <c:formatCode>General</c:formatCode>
                <c:ptCount val="5"/>
                <c:pt idx="0">
                  <c:v>151821</c:v>
                </c:pt>
                <c:pt idx="1">
                  <c:v>105414</c:v>
                </c:pt>
                <c:pt idx="2">
                  <c:v>73537</c:v>
                </c:pt>
                <c:pt idx="3">
                  <c:v>76617</c:v>
                </c:pt>
                <c:pt idx="4">
                  <c:v>70983</c:v>
                </c:pt>
              </c:numCache>
            </c:numRef>
          </c:val>
          <c:smooth val="0"/>
          <c:extLst>
            <c:ext xmlns:c16="http://schemas.microsoft.com/office/drawing/2014/chart" uri="{C3380CC4-5D6E-409C-BE32-E72D297353CC}">
              <c16:uniqueId val="{00000000-F929-46F8-86C5-5D32C18E857C}"/>
            </c:ext>
          </c:extLst>
        </c:ser>
        <c:dLbls>
          <c:showLegendKey val="0"/>
          <c:showVal val="0"/>
          <c:showCatName val="0"/>
          <c:showSerName val="0"/>
          <c:showPercent val="0"/>
          <c:showBubbleSize val="0"/>
        </c:dLbls>
        <c:axId val="1051940399"/>
        <c:axId val="1051934159"/>
        <c:axId val="1061051071"/>
      </c:line3DChart>
      <c:catAx>
        <c:axId val="105194039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51934159"/>
        <c:crosses val="autoZero"/>
        <c:auto val="1"/>
        <c:lblAlgn val="ctr"/>
        <c:lblOffset val="100"/>
        <c:noMultiLvlLbl val="0"/>
      </c:catAx>
      <c:valAx>
        <c:axId val="10519341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51940399"/>
        <c:crosses val="autoZero"/>
        <c:crossBetween val="between"/>
      </c:valAx>
      <c:serAx>
        <c:axId val="106105107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1934159"/>
        <c:crosses val="autoZero"/>
      </c:serAx>
      <c:spPr>
        <a:solidFill>
          <a:schemeClr val="tx1">
            <a:lumMod val="95000"/>
            <a:lumOff val="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400" b="0" i="0" u="none" strike="noStrike" baseline="0">
                <a:solidFill>
                  <a:schemeClr val="bg1"/>
                </a:solidFill>
                <a:effectLst/>
              </a:rPr>
              <a:t>Influx of New Client </a:t>
            </a:r>
            <a:endParaRPr lang="en-US" sz="1400" b="0">
              <a:solidFill>
                <a:schemeClr val="bg1"/>
              </a:solidFill>
            </a:endParaRPr>
          </a:p>
        </c:rich>
      </c:tx>
      <c:overlay val="0"/>
      <c:spPr>
        <a:solidFill>
          <a:schemeClr val="tx1"/>
        </a:solidFill>
        <a:ln>
          <a:noFill/>
        </a:ln>
        <a:effectLst/>
      </c:spPr>
      <c:txPr>
        <a:bodyPr rot="0" spcFirstLastPara="1" vertOverflow="ellipsis" vert="horz" wrap="square" anchor="ctr" anchorCtr="1"/>
        <a:lstStyle/>
        <a:p>
          <a:pPr algn="ctr">
            <a:defRPr sz="16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4"/>
          <c:order val="4"/>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glow rad="127000">
                <a:srgbClr val="FFFF00"/>
              </a:glow>
            </a:effectLst>
            <a:scene3d>
              <a:camera prst="orthographicFront">
                <a:rot lat="0" lon="0" rev="0"/>
              </a:camera>
              <a:lightRig rig="threePt" dir="t">
                <a:rot lat="0" lon="0" rev="1200000"/>
              </a:lightRig>
            </a:scene3d>
            <a:sp3d>
              <a:bevelT w="63500" h="25400"/>
            </a:sp3d>
          </c:spPr>
          <c:invertIfNegative val="0"/>
          <c:val>
            <c:numRef>
              <c:f>Processing!$E$3:$E$14</c:f>
              <c:numCache>
                <c:formatCode>General</c:formatCode>
                <c:ptCount val="12"/>
                <c:pt idx="0">
                  <c:v>0</c:v>
                </c:pt>
                <c:pt idx="1">
                  <c:v>0</c:v>
                </c:pt>
                <c:pt idx="2">
                  <c:v>#N/A</c:v>
                </c:pt>
                <c:pt idx="3">
                  <c:v>0</c:v>
                </c:pt>
                <c:pt idx="4">
                  <c:v>#N/A</c:v>
                </c:pt>
                <c:pt idx="5">
                  <c:v>#N/A</c:v>
                </c:pt>
                <c:pt idx="6">
                  <c:v>#N/A</c:v>
                </c:pt>
                <c:pt idx="7">
                  <c:v>#N/A</c:v>
                </c:pt>
                <c:pt idx="8">
                  <c:v>0</c:v>
                </c:pt>
                <c:pt idx="9">
                  <c:v>0</c:v>
                </c:pt>
                <c:pt idx="10">
                  <c:v>#N/A</c:v>
                </c:pt>
                <c:pt idx="11">
                  <c:v>#N/A</c:v>
                </c:pt>
              </c:numCache>
            </c:numRef>
          </c:val>
          <c:extLst>
            <c:ext xmlns:c16="http://schemas.microsoft.com/office/drawing/2014/chart" uri="{C3380CC4-5D6E-409C-BE32-E72D297353CC}">
              <c16:uniqueId val="{00000004-9706-429D-B65F-46B048EB8A73}"/>
            </c:ext>
          </c:extLst>
        </c:ser>
        <c:dLbls>
          <c:showLegendKey val="0"/>
          <c:showVal val="0"/>
          <c:showCatName val="0"/>
          <c:showSerName val="0"/>
          <c:showPercent val="0"/>
          <c:showBubbleSize val="0"/>
        </c:dLbls>
        <c:gapWidth val="180"/>
        <c:axId val="1807139504"/>
        <c:axId val="1807122704"/>
      </c:barChart>
      <c:lineChart>
        <c:grouping val="standard"/>
        <c:varyColors val="0"/>
        <c:ser>
          <c:idx val="0"/>
          <c:order val="0"/>
          <c:tx>
            <c:strRef>
              <c:f>Processing!$C$2</c:f>
              <c:strCache>
                <c:ptCount val="1"/>
                <c:pt idx="0">
                  <c:v>Clients</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Processing!$B$3:$B$14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Processing!$C$3:$C$14</c:f>
              <c:numCache>
                <c:formatCode>General</c:formatCode>
                <c:ptCount val="12"/>
                <c:pt idx="1">
                  <c:v>0</c:v>
                </c:pt>
                <c:pt idx="2">
                  <c:v>786</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706-429D-B65F-46B048EB8A73}"/>
            </c:ext>
          </c:extLst>
        </c:ser>
        <c:ser>
          <c:idx val="2"/>
          <c:order val="2"/>
          <c:tx>
            <c:strRef>
              <c:f>Processing!$E$2</c:f>
              <c:strCache>
                <c:ptCount val="1"/>
                <c:pt idx="0">
                  <c:v>Markers</c:v>
                </c:pt>
              </c:strCache>
            </c:strRef>
          </c:tx>
          <c:spPr>
            <a:ln w="34925" cap="rnd">
              <a:gradFill>
                <a:gsLst>
                  <a:gs pos="0">
                    <a:srgbClr val="8158DA"/>
                  </a:gs>
                  <a:gs pos="100000">
                    <a:schemeClr val="accent1">
                      <a:lumMod val="45000"/>
                      <a:lumOff val="55000"/>
                    </a:schemeClr>
                  </a:gs>
                  <a:gs pos="100000">
                    <a:schemeClr val="accent1">
                      <a:lumMod val="45000"/>
                      <a:lumOff val="55000"/>
                    </a:schemeClr>
                  </a:gs>
                  <a:gs pos="100000">
                    <a:schemeClr val="accent1">
                      <a:lumMod val="30000"/>
                      <a:lumOff val="70000"/>
                    </a:schemeClr>
                  </a:gs>
                </a:gsLst>
                <a:lin ang="0" scaled="0"/>
              </a:gradFill>
              <a:round/>
            </a:ln>
            <a:effectLst>
              <a:outerShdw blurRad="40000" dist="23000" dir="5400000" rotWithShape="0">
                <a:srgbClr val="000000">
                  <a:alpha val="35000"/>
                </a:srgbClr>
              </a:outerShdw>
            </a:effectLst>
          </c:spPr>
          <c:marker>
            <c:symbol val="circle"/>
            <c:size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rgbClr val="02C7B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solidFill>
                <a:schemeClr val="accent6">
                  <a:lumMod val="75000"/>
                </a:schemeClr>
              </a:solidFill>
              <a:ln>
                <a:solidFill>
                  <a:schemeClr val="bg1"/>
                </a:solidFill>
              </a:ln>
              <a:effectLst>
                <a:glow rad="63500">
                  <a:schemeClr val="accent6">
                    <a:lumMod val="75000"/>
                    <a:alpha val="38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Dir val="y"/>
            <c:errBarType val="both"/>
            <c:errValType val="cust"/>
            <c:noEndCap val="1"/>
            <c:plus>
              <c:numLit>
                <c:formatCode>General</c:formatCode>
                <c:ptCount val="1"/>
                <c:pt idx="0">
                  <c:v>1</c:v>
                </c:pt>
              </c:numLit>
            </c:plus>
            <c:minus>
              <c:numRef>
                <c:f>Processing!$E$3:$E$14</c:f>
                <c:numCache>
                  <c:formatCode>General</c:formatCode>
                  <c:ptCount val="12"/>
                  <c:pt idx="0">
                    <c:v>0</c:v>
                  </c:pt>
                  <c:pt idx="1">
                    <c:v>0</c:v>
                  </c:pt>
                  <c:pt idx="2">
                    <c:v>#N/A</c:v>
                  </c:pt>
                  <c:pt idx="3">
                    <c:v>0</c:v>
                  </c:pt>
                  <c:pt idx="4">
                    <c:v>#N/A</c:v>
                  </c:pt>
                  <c:pt idx="5">
                    <c:v>#N/A</c:v>
                  </c:pt>
                  <c:pt idx="6">
                    <c:v>#N/A</c:v>
                  </c:pt>
                  <c:pt idx="7">
                    <c:v>#N/A</c:v>
                  </c:pt>
                  <c:pt idx="8">
                    <c:v>0</c:v>
                  </c:pt>
                  <c:pt idx="9">
                    <c:v>0</c:v>
                  </c:pt>
                  <c:pt idx="10">
                    <c:v>#N/A</c:v>
                  </c:pt>
                  <c:pt idx="11">
                    <c:v>#N/A</c:v>
                  </c:pt>
                </c:numCache>
              </c:numRef>
            </c:minus>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228600">
                  <a:srgbClr val="FFFF00">
                    <a:alpha val="40000"/>
                  </a:srgbClr>
                </a:glow>
                <a:outerShdw blurRad="50800" dist="50800" dir="5400000" algn="ctr" rotWithShape="0">
                  <a:srgbClr val="000000">
                    <a:alpha val="87000"/>
                  </a:srgbClr>
                </a:outerShdw>
                <a:softEdge rad="25400"/>
              </a:effectLst>
            </c:spPr>
          </c:errBars>
          <c:cat>
            <c:strRef>
              <c:f>Processing!$B$3:$B$14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Processing!$E$3:$E$14</c:f>
              <c:numCache>
                <c:formatCode>General</c:formatCode>
                <c:ptCount val="12"/>
                <c:pt idx="0">
                  <c:v>0</c:v>
                </c:pt>
                <c:pt idx="1">
                  <c:v>0</c:v>
                </c:pt>
                <c:pt idx="2">
                  <c:v>#N/A</c:v>
                </c:pt>
                <c:pt idx="3">
                  <c:v>0</c:v>
                </c:pt>
                <c:pt idx="4">
                  <c:v>#N/A</c:v>
                </c:pt>
                <c:pt idx="5">
                  <c:v>#N/A</c:v>
                </c:pt>
                <c:pt idx="6">
                  <c:v>#N/A</c:v>
                </c:pt>
                <c:pt idx="7">
                  <c:v>#N/A</c:v>
                </c:pt>
                <c:pt idx="8">
                  <c:v>0</c:v>
                </c:pt>
                <c:pt idx="9">
                  <c:v>0</c:v>
                </c:pt>
                <c:pt idx="10">
                  <c:v>#N/A</c:v>
                </c:pt>
                <c:pt idx="11">
                  <c:v>#N/A</c:v>
                </c:pt>
              </c:numCache>
            </c:numRef>
          </c:val>
          <c:smooth val="0"/>
          <c:extLst>
            <c:ext xmlns:c16="http://schemas.microsoft.com/office/drawing/2014/chart" uri="{C3380CC4-5D6E-409C-BE32-E72D297353CC}">
              <c16:uniqueId val="{00000001-9706-429D-B65F-46B048EB8A73}"/>
            </c:ext>
          </c:extLst>
        </c:ser>
        <c:ser>
          <c:idx val="3"/>
          <c:order val="3"/>
          <c:tx>
            <c:v>Marker</c:v>
          </c:tx>
          <c:spPr>
            <a:ln w="34925" cap="rnd">
              <a:solidFill>
                <a:schemeClr val="accent6">
                  <a:lumMod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Processing!$B$3:$B$14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Processing!$A$1</c:f>
              <c:numCache>
                <c:formatCode>General</c:formatCode>
                <c:ptCount val="1"/>
                <c:pt idx="0">
                  <c:v>0</c:v>
                </c:pt>
              </c:numCache>
            </c:numRef>
          </c:val>
          <c:smooth val="0"/>
          <c:extLst>
            <c:ext xmlns:c16="http://schemas.microsoft.com/office/drawing/2014/chart" uri="{C3380CC4-5D6E-409C-BE32-E72D297353CC}">
              <c16:uniqueId val="{00000003-9706-429D-B65F-46B048EB8A73}"/>
            </c:ext>
          </c:extLst>
        </c:ser>
        <c:dLbls>
          <c:showLegendKey val="0"/>
          <c:showVal val="0"/>
          <c:showCatName val="0"/>
          <c:showSerName val="0"/>
          <c:showPercent val="0"/>
          <c:showBubbleSize val="0"/>
        </c:dLbls>
        <c:marker val="1"/>
        <c:smooth val="0"/>
        <c:axId val="1807139504"/>
        <c:axId val="1807122704"/>
        <c:extLst>
          <c:ext xmlns:c15="http://schemas.microsoft.com/office/drawing/2012/chart" uri="{02D57815-91ED-43cb-92C2-25804820EDAC}">
            <c15:filteredLineSeries>
              <c15:ser>
                <c:idx val="1"/>
                <c:order val="1"/>
                <c:tx>
                  <c:strRef>
                    <c:extLst>
                      <c:ext uri="{02D57815-91ED-43cb-92C2-25804820EDAC}">
                        <c15:formulaRef>
                          <c15:sqref>Processing!$D$2</c15:sqref>
                        </c15:formulaRef>
                      </c:ext>
                    </c:extLst>
                    <c:strCache>
                      <c:ptCount val="1"/>
                      <c:pt idx="0">
                        <c:v>Level2</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Processing!$B$3:$B$14</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Processing!$D$3:$D$14</c15:sqref>
                        </c15:formulaRef>
                      </c:ext>
                    </c:extLst>
                    <c:numCache>
                      <c:formatCode>General</c:formatCode>
                      <c:ptCount val="12"/>
                      <c:pt idx="0">
                        <c:v>63</c:v>
                      </c:pt>
                      <c:pt idx="1">
                        <c:v>194</c:v>
                      </c:pt>
                      <c:pt idx="2">
                        <c:v>#N/A</c:v>
                      </c:pt>
                      <c:pt idx="3">
                        <c:v>97</c:v>
                      </c:pt>
                      <c:pt idx="4">
                        <c:v>#N/A</c:v>
                      </c:pt>
                      <c:pt idx="5">
                        <c:v>#N/A</c:v>
                      </c:pt>
                      <c:pt idx="6">
                        <c:v>#N/A</c:v>
                      </c:pt>
                      <c:pt idx="7">
                        <c:v>#N/A</c:v>
                      </c:pt>
                      <c:pt idx="8">
                        <c:v>176</c:v>
                      </c:pt>
                      <c:pt idx="9">
                        <c:v>195</c:v>
                      </c:pt>
                      <c:pt idx="10">
                        <c:v>#N/A</c:v>
                      </c:pt>
                      <c:pt idx="11">
                        <c:v>#N/A</c:v>
                      </c:pt>
                    </c:numCache>
                  </c:numRef>
                </c:val>
                <c:smooth val="0"/>
                <c:extLst>
                  <c:ext xmlns:c16="http://schemas.microsoft.com/office/drawing/2014/chart" uri="{C3380CC4-5D6E-409C-BE32-E72D297353CC}">
                    <c16:uniqueId val="{00000002-9706-429D-B65F-46B048EB8A73}"/>
                  </c:ext>
                </c:extLst>
              </c15:ser>
            </c15:filteredLineSeries>
          </c:ext>
        </c:extLst>
      </c:lineChart>
      <c:catAx>
        <c:axId val="18071395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07122704"/>
        <c:crosses val="autoZero"/>
        <c:auto val="1"/>
        <c:lblAlgn val="ctr"/>
        <c:lblOffset val="100"/>
        <c:noMultiLvlLbl val="0"/>
      </c:catAx>
      <c:valAx>
        <c:axId val="1807122704"/>
        <c:scaling>
          <c:orientation val="minMax"/>
        </c:scaling>
        <c:delete val="0"/>
        <c:axPos val="l"/>
        <c:majorGridlines>
          <c:spPr>
            <a:ln w="9525" cap="flat" cmpd="sng" algn="ctr">
              <a:solidFill>
                <a:schemeClr val="accent4">
                  <a:shade val="95000"/>
                  <a:satMod val="105000"/>
                </a:schemeClr>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07139504"/>
        <c:crosses val="autoZero"/>
        <c:crossBetween val="between"/>
      </c:valAx>
      <c:spPr>
        <a:solidFill>
          <a:schemeClr val="tx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tx1"/>
      </a:solidFill>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jpeg"/><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28</xdr:col>
      <xdr:colOff>257735</xdr:colOff>
      <xdr:row>11</xdr:row>
      <xdr:rowOff>1</xdr:rowOff>
    </xdr:to>
    <xdr:sp macro="" textlink="">
      <xdr:nvSpPr>
        <xdr:cNvPr id="41" name="Rectangle 40">
          <a:extLst>
            <a:ext uri="{FF2B5EF4-FFF2-40B4-BE49-F238E27FC236}">
              <a16:creationId xmlns:a16="http://schemas.microsoft.com/office/drawing/2014/main" id="{F4130AA3-E9E1-720C-1E81-671AB282E9C8}"/>
            </a:ext>
          </a:extLst>
        </xdr:cNvPr>
        <xdr:cNvSpPr/>
      </xdr:nvSpPr>
      <xdr:spPr>
        <a:xfrm>
          <a:off x="0" y="1"/>
          <a:ext cx="15497735" cy="207113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7</xdr:row>
      <xdr:rowOff>11076</xdr:rowOff>
    </xdr:from>
    <xdr:to>
      <xdr:col>3</xdr:col>
      <xdr:colOff>5043</xdr:colOff>
      <xdr:row>36</xdr:row>
      <xdr:rowOff>11075</xdr:rowOff>
    </xdr:to>
    <xdr:graphicFrame macro="">
      <xdr:nvGraphicFramePr>
        <xdr:cNvPr id="2" name="Chart 1">
          <a:extLst>
            <a:ext uri="{FF2B5EF4-FFF2-40B4-BE49-F238E27FC236}">
              <a16:creationId xmlns:a16="http://schemas.microsoft.com/office/drawing/2014/main" id="{B9D6C993-39D9-16C9-EB08-6E3D45182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xdr:colOff>
      <xdr:row>8</xdr:row>
      <xdr:rowOff>7306</xdr:rowOff>
    </xdr:from>
    <xdr:to>
      <xdr:col>7</xdr:col>
      <xdr:colOff>328181</xdr:colOff>
      <xdr:row>11</xdr:row>
      <xdr:rowOff>22151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EE4FE67-EFAB-F973-A995-DC9F5D36B7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60477" y="2001953"/>
              <a:ext cx="3488307"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638735</xdr:colOff>
      <xdr:row>7</xdr:row>
      <xdr:rowOff>168088</xdr:rowOff>
    </xdr:from>
    <xdr:to>
      <xdr:col>15</xdr:col>
      <xdr:colOff>145675</xdr:colOff>
      <xdr:row>17</xdr:row>
      <xdr:rowOff>179294</xdr:rowOff>
    </xdr:to>
    <xdr:graphicFrame macro="">
      <xdr:nvGraphicFramePr>
        <xdr:cNvPr id="5" name="Chart 4">
          <a:extLst>
            <a:ext uri="{FF2B5EF4-FFF2-40B4-BE49-F238E27FC236}">
              <a16:creationId xmlns:a16="http://schemas.microsoft.com/office/drawing/2014/main" id="{5F312438-BFC0-4D3C-7D40-B0B663273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642384</xdr:colOff>
      <xdr:row>17</xdr:row>
      <xdr:rowOff>9239</xdr:rowOff>
    </xdr:from>
    <xdr:to>
      <xdr:col>15</xdr:col>
      <xdr:colOff>201184</xdr:colOff>
      <xdr:row>35</xdr:row>
      <xdr:rowOff>66453</xdr:rowOff>
    </xdr:to>
    <xdr:graphicFrame macro="">
      <xdr:nvGraphicFramePr>
        <xdr:cNvPr id="6" name="Chart 5">
          <a:extLst>
            <a:ext uri="{FF2B5EF4-FFF2-40B4-BE49-F238E27FC236}">
              <a16:creationId xmlns:a16="http://schemas.microsoft.com/office/drawing/2014/main" id="{F3BC491A-7C1C-2BBE-8D24-2CE00CBB3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39871</xdr:colOff>
      <xdr:row>17</xdr:row>
      <xdr:rowOff>155059</xdr:rowOff>
    </xdr:from>
    <xdr:to>
      <xdr:col>26</xdr:col>
      <xdr:colOff>143982</xdr:colOff>
      <xdr:row>34</xdr:row>
      <xdr:rowOff>143983</xdr:rowOff>
    </xdr:to>
    <xdr:graphicFrame macro="">
      <xdr:nvGraphicFramePr>
        <xdr:cNvPr id="10" name="Chart 9">
          <a:extLst>
            <a:ext uri="{FF2B5EF4-FFF2-40B4-BE49-F238E27FC236}">
              <a16:creationId xmlns:a16="http://schemas.microsoft.com/office/drawing/2014/main" id="{F168F49B-9873-9ACE-F622-6C2D64903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55378</xdr:colOff>
      <xdr:row>7</xdr:row>
      <xdr:rowOff>89648</xdr:rowOff>
    </xdr:from>
    <xdr:to>
      <xdr:col>26</xdr:col>
      <xdr:colOff>134471</xdr:colOff>
      <xdr:row>17</xdr:row>
      <xdr:rowOff>166135</xdr:rowOff>
    </xdr:to>
    <xdr:graphicFrame macro="">
      <xdr:nvGraphicFramePr>
        <xdr:cNvPr id="11" name="Chart 10">
          <a:extLst>
            <a:ext uri="{FF2B5EF4-FFF2-40B4-BE49-F238E27FC236}">
              <a16:creationId xmlns:a16="http://schemas.microsoft.com/office/drawing/2014/main" id="{231AAA9C-27FE-1075-2314-53C41D47D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547967</xdr:colOff>
      <xdr:row>5</xdr:row>
      <xdr:rowOff>98613</xdr:rowOff>
    </xdr:from>
    <xdr:to>
      <xdr:col>25</xdr:col>
      <xdr:colOff>11075</xdr:colOff>
      <xdr:row>7</xdr:row>
      <xdr:rowOff>112059</xdr:rowOff>
    </xdr:to>
    <mc:AlternateContent xmlns:mc="http://schemas.openxmlformats.org/markup-compatibility/2006" xmlns:a14="http://schemas.microsoft.com/office/drawing/2010/main">
      <mc:Choice Requires="a14">
        <xdr:graphicFrame macro="">
          <xdr:nvGraphicFramePr>
            <xdr:cNvPr id="12" name="Product Name">
              <a:extLst>
                <a:ext uri="{FF2B5EF4-FFF2-40B4-BE49-F238E27FC236}">
                  <a16:creationId xmlns:a16="http://schemas.microsoft.com/office/drawing/2014/main" id="{CD457E25-A110-D220-4C6C-6620AE844A4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752008" y="1040037"/>
              <a:ext cx="11690550" cy="390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15358</xdr:colOff>
      <xdr:row>11</xdr:row>
      <xdr:rowOff>33619</xdr:rowOff>
    </xdr:from>
    <xdr:to>
      <xdr:col>3</xdr:col>
      <xdr:colOff>993401</xdr:colOff>
      <xdr:row>13</xdr:row>
      <xdr:rowOff>155637</xdr:rowOff>
    </xdr:to>
    <xdr:sp macro="" textlink="">
      <xdr:nvSpPr>
        <xdr:cNvPr id="13" name="Arrow: Pentagon 12">
          <a:extLst>
            <a:ext uri="{FF2B5EF4-FFF2-40B4-BE49-F238E27FC236}">
              <a16:creationId xmlns:a16="http://schemas.microsoft.com/office/drawing/2014/main" id="{CCDA16D8-8CFD-D953-973F-82C8E5C5B8D0}"/>
            </a:ext>
          </a:extLst>
        </xdr:cNvPr>
        <xdr:cNvSpPr/>
      </xdr:nvSpPr>
      <xdr:spPr>
        <a:xfrm>
          <a:off x="2828034" y="2599766"/>
          <a:ext cx="978043" cy="503018"/>
        </a:xfrm>
        <a:prstGeom prst="homePlate">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425821</xdr:colOff>
      <xdr:row>11</xdr:row>
      <xdr:rowOff>22411</xdr:rowOff>
    </xdr:from>
    <xdr:to>
      <xdr:col>7</xdr:col>
      <xdr:colOff>537880</xdr:colOff>
      <xdr:row>14</xdr:row>
      <xdr:rowOff>11205</xdr:rowOff>
    </xdr:to>
    <xdr:sp macro="" textlink="">
      <xdr:nvSpPr>
        <xdr:cNvPr id="14" name="Arrow: Pentagon 13">
          <a:extLst>
            <a:ext uri="{FF2B5EF4-FFF2-40B4-BE49-F238E27FC236}">
              <a16:creationId xmlns:a16="http://schemas.microsoft.com/office/drawing/2014/main" id="{44788AA1-6226-447A-8E1F-F14792FD918D}"/>
            </a:ext>
          </a:extLst>
        </xdr:cNvPr>
        <xdr:cNvSpPr/>
      </xdr:nvSpPr>
      <xdr:spPr>
        <a:xfrm rot="10800000">
          <a:off x="6174439" y="2588558"/>
          <a:ext cx="1030941" cy="560294"/>
        </a:xfrm>
        <a:prstGeom prst="homePlate">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930348</xdr:colOff>
      <xdr:row>11</xdr:row>
      <xdr:rowOff>2214</xdr:rowOff>
    </xdr:from>
    <xdr:to>
      <xdr:col>6</xdr:col>
      <xdr:colOff>570327</xdr:colOff>
      <xdr:row>13</xdr:row>
      <xdr:rowOff>168088</xdr:rowOff>
    </xdr:to>
    <xdr:sp macro="" textlink="$B$6">
      <xdr:nvSpPr>
        <xdr:cNvPr id="19" name="Rectangle: Rounded Corners 18">
          <a:extLst>
            <a:ext uri="{FF2B5EF4-FFF2-40B4-BE49-F238E27FC236}">
              <a16:creationId xmlns:a16="http://schemas.microsoft.com/office/drawing/2014/main" id="{523071BB-E101-6A2C-5F2E-59C0195DF358}"/>
            </a:ext>
          </a:extLst>
        </xdr:cNvPr>
        <xdr:cNvSpPr/>
      </xdr:nvSpPr>
      <xdr:spPr>
        <a:xfrm>
          <a:off x="3743546" y="2073348"/>
          <a:ext cx="2707915" cy="542443"/>
        </a:xfrm>
        <a:prstGeom prst="roundRect">
          <a:avLst/>
        </a:prstGeom>
        <a:solidFill>
          <a:schemeClr val="tx1"/>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1" i="0" u="none" strike="noStrike">
              <a:solidFill>
                <a:schemeClr val="accent3"/>
              </a:solidFill>
              <a:latin typeface="Calibri"/>
              <a:cs typeface="Calibri"/>
            </a:rPr>
            <a:t>REPORT  </a:t>
          </a:r>
          <a:endParaRPr lang="en-US" sz="2400" b="1">
            <a:solidFill>
              <a:schemeClr val="accent3"/>
            </a:solidFill>
          </a:endParaRPr>
        </a:p>
      </xdr:txBody>
    </xdr:sp>
    <xdr:clientData/>
  </xdr:twoCellAnchor>
  <xdr:twoCellAnchor>
    <xdr:from>
      <xdr:col>0</xdr:col>
      <xdr:colOff>0</xdr:colOff>
      <xdr:row>0</xdr:row>
      <xdr:rowOff>77920</xdr:rowOff>
    </xdr:from>
    <xdr:to>
      <xdr:col>2</xdr:col>
      <xdr:colOff>392205</xdr:colOff>
      <xdr:row>7</xdr:row>
      <xdr:rowOff>1693</xdr:rowOff>
    </xdr:to>
    <xdr:sp macro="" textlink="">
      <xdr:nvSpPr>
        <xdr:cNvPr id="8" name="Rectangle: Rounded Corners 7">
          <a:extLst>
            <a:ext uri="{FF2B5EF4-FFF2-40B4-BE49-F238E27FC236}">
              <a16:creationId xmlns:a16="http://schemas.microsoft.com/office/drawing/2014/main" id="{E71BB459-9870-4153-117E-357A48EB0464}"/>
            </a:ext>
          </a:extLst>
        </xdr:cNvPr>
        <xdr:cNvSpPr/>
      </xdr:nvSpPr>
      <xdr:spPr>
        <a:xfrm>
          <a:off x="0" y="77920"/>
          <a:ext cx="2596246" cy="1241767"/>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tx1"/>
              </a:solidFill>
              <a:effectLst/>
              <a:latin typeface="+mn-lt"/>
              <a:ea typeface="+mn-ea"/>
              <a:cs typeface="+mn-cs"/>
            </a:rPr>
            <a:t>             Total Sales</a:t>
          </a:r>
          <a:r>
            <a:rPr lang="en-US" sz="1600" b="1">
              <a:solidFill>
                <a:schemeClr val="tx1"/>
              </a:solidFill>
              <a:effectLst/>
            </a:rPr>
            <a:t>   </a:t>
          </a:r>
          <a:endParaRPr lang="en-US" sz="1600" b="1">
            <a:solidFill>
              <a:schemeClr val="tx1"/>
            </a:solidFill>
          </a:endParaRPr>
        </a:p>
        <a:p>
          <a:pPr algn="ctr"/>
          <a:r>
            <a:rPr lang="en-US" b="1">
              <a:solidFill>
                <a:schemeClr val="tx1"/>
              </a:solidFill>
              <a:effectLst/>
            </a:rPr>
            <a:t>              </a:t>
          </a:r>
          <a:r>
            <a:rPr lang="en-US" sz="1600" b="1">
              <a:solidFill>
                <a:schemeClr val="tx1"/>
              </a:solidFill>
              <a:effectLst/>
            </a:rPr>
            <a:t>787026</a:t>
          </a:r>
          <a:endParaRPr lang="en-US" sz="1600" b="1">
            <a:solidFill>
              <a:schemeClr val="tx1"/>
            </a:solidFill>
          </a:endParaRPr>
        </a:p>
      </xdr:txBody>
    </xdr:sp>
    <xdr:clientData/>
  </xdr:twoCellAnchor>
  <xdr:twoCellAnchor editAs="oneCell">
    <xdr:from>
      <xdr:col>1</xdr:col>
      <xdr:colOff>336177</xdr:colOff>
      <xdr:row>4</xdr:row>
      <xdr:rowOff>145676</xdr:rowOff>
    </xdr:from>
    <xdr:to>
      <xdr:col>1</xdr:col>
      <xdr:colOff>649940</xdr:colOff>
      <xdr:row>6</xdr:row>
      <xdr:rowOff>92082</xdr:rowOff>
    </xdr:to>
    <xdr:pic>
      <xdr:nvPicPr>
        <xdr:cNvPr id="15" name="Picture 14">
          <a:extLst>
            <a:ext uri="{FF2B5EF4-FFF2-40B4-BE49-F238E27FC236}">
              <a16:creationId xmlns:a16="http://schemas.microsoft.com/office/drawing/2014/main" id="{07542B40-C6C4-FB5D-F440-2531C4CE97C4}"/>
            </a:ext>
          </a:extLst>
        </xdr:cNvPr>
        <xdr:cNvPicPr>
          <a:picLocks noChangeAspect="1"/>
        </xdr:cNvPicPr>
      </xdr:nvPicPr>
      <xdr:blipFill>
        <a:blip xmlns:r="http://schemas.openxmlformats.org/officeDocument/2006/relationships" r:embed="rId6"/>
        <a:stretch>
          <a:fillRect/>
        </a:stretch>
      </xdr:blipFill>
      <xdr:spPr>
        <a:xfrm>
          <a:off x="1210236" y="907676"/>
          <a:ext cx="313763" cy="327406"/>
        </a:xfrm>
        <a:prstGeom prst="rect">
          <a:avLst/>
        </a:prstGeom>
      </xdr:spPr>
    </xdr:pic>
    <xdr:clientData/>
  </xdr:twoCellAnchor>
  <xdr:twoCellAnchor>
    <xdr:from>
      <xdr:col>2</xdr:col>
      <xdr:colOff>257735</xdr:colOff>
      <xdr:row>2</xdr:row>
      <xdr:rowOff>44825</xdr:rowOff>
    </xdr:from>
    <xdr:to>
      <xdr:col>11</xdr:col>
      <xdr:colOff>302558</xdr:colOff>
      <xdr:row>5</xdr:row>
      <xdr:rowOff>33617</xdr:rowOff>
    </xdr:to>
    <xdr:sp macro="" textlink="">
      <xdr:nvSpPr>
        <xdr:cNvPr id="17" name="Rectangle: Rounded Corners 16">
          <a:extLst>
            <a:ext uri="{FF2B5EF4-FFF2-40B4-BE49-F238E27FC236}">
              <a16:creationId xmlns:a16="http://schemas.microsoft.com/office/drawing/2014/main" id="{B008A367-42A6-954C-62B3-BC8A6F642D31}"/>
            </a:ext>
          </a:extLst>
        </xdr:cNvPr>
        <xdr:cNvSpPr/>
      </xdr:nvSpPr>
      <xdr:spPr>
        <a:xfrm>
          <a:off x="2461776" y="421395"/>
          <a:ext cx="7277177" cy="553646"/>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Top</a:t>
          </a:r>
          <a:r>
            <a:rPr lang="en-US" sz="1400" b="1" baseline="0">
              <a:solidFill>
                <a:schemeClr val="tx1"/>
              </a:solidFill>
            </a:rPr>
            <a:t> customer -  Nisha Patel</a:t>
          </a:r>
          <a:endParaRPr lang="en-US" sz="1400" b="1">
            <a:solidFill>
              <a:schemeClr val="tx1"/>
            </a:solidFill>
          </a:endParaRPr>
        </a:p>
      </xdr:txBody>
    </xdr:sp>
    <xdr:clientData/>
  </xdr:twoCellAnchor>
  <xdr:twoCellAnchor>
    <xdr:from>
      <xdr:col>11</xdr:col>
      <xdr:colOff>302558</xdr:colOff>
      <xdr:row>0</xdr:row>
      <xdr:rowOff>0</xdr:rowOff>
    </xdr:from>
    <xdr:to>
      <xdr:col>26</xdr:col>
      <xdr:colOff>0</xdr:colOff>
      <xdr:row>5</xdr:row>
      <xdr:rowOff>67235</xdr:rowOff>
    </xdr:to>
    <xdr:sp macro="" textlink="">
      <xdr:nvSpPr>
        <xdr:cNvPr id="20" name="Rectangle: Rounded Corners 19">
          <a:extLst>
            <a:ext uri="{FF2B5EF4-FFF2-40B4-BE49-F238E27FC236}">
              <a16:creationId xmlns:a16="http://schemas.microsoft.com/office/drawing/2014/main" id="{A3AD0C56-3B97-4474-BB47-66C3AEE9B2FE}"/>
            </a:ext>
          </a:extLst>
        </xdr:cNvPr>
        <xdr:cNvSpPr/>
      </xdr:nvSpPr>
      <xdr:spPr>
        <a:xfrm>
          <a:off x="9681882" y="0"/>
          <a:ext cx="4818530" cy="1019735"/>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a:t>                              </a:t>
          </a:r>
          <a:r>
            <a:rPr lang="en-US" sz="1800" b="1">
              <a:solidFill>
                <a:schemeClr val="tx1"/>
              </a:solidFill>
            </a:rPr>
            <a:t>Top</a:t>
          </a:r>
          <a:r>
            <a:rPr lang="en-US" sz="1800" b="1" baseline="0">
              <a:solidFill>
                <a:schemeClr val="tx1"/>
              </a:solidFill>
            </a:rPr>
            <a:t> Sales Person - Neha</a:t>
          </a:r>
        </a:p>
        <a:p>
          <a:pPr algn="ctr"/>
          <a:r>
            <a:rPr lang="en-US" sz="1800" b="1" baseline="0">
              <a:solidFill>
                <a:schemeClr val="tx1"/>
              </a:solidFill>
            </a:rPr>
            <a:t>          </a:t>
          </a:r>
          <a:r>
            <a:rPr lang="en-US" sz="1800" b="1" i="0" u="none" strike="noStrike">
              <a:solidFill>
                <a:schemeClr val="tx1"/>
              </a:solidFill>
              <a:effectLst/>
              <a:latin typeface="+mn-lt"/>
              <a:ea typeface="+mn-ea"/>
              <a:cs typeface="+mn-cs"/>
            </a:rPr>
            <a:t>217163</a:t>
          </a:r>
          <a:r>
            <a:rPr lang="en-US" sz="1800" b="1">
              <a:solidFill>
                <a:schemeClr val="tx1"/>
              </a:solidFill>
              <a:effectLst/>
            </a:rPr>
            <a:t> </a:t>
          </a:r>
          <a:endParaRPr lang="en-US" sz="1800" b="1">
            <a:solidFill>
              <a:schemeClr val="tx1"/>
            </a:solidFill>
          </a:endParaRPr>
        </a:p>
      </xdr:txBody>
    </xdr:sp>
    <xdr:clientData/>
  </xdr:twoCellAnchor>
  <xdr:twoCellAnchor>
    <xdr:from>
      <xdr:col>2</xdr:col>
      <xdr:colOff>268941</xdr:colOff>
      <xdr:row>0</xdr:row>
      <xdr:rowOff>33618</xdr:rowOff>
    </xdr:from>
    <xdr:to>
      <xdr:col>5</xdr:col>
      <xdr:colOff>739589</xdr:colOff>
      <xdr:row>2</xdr:row>
      <xdr:rowOff>89647</xdr:rowOff>
    </xdr:to>
    <xdr:sp macro="" textlink="">
      <xdr:nvSpPr>
        <xdr:cNvPr id="21" name="Rectangle: Rounded Corners 20">
          <a:extLst>
            <a:ext uri="{FF2B5EF4-FFF2-40B4-BE49-F238E27FC236}">
              <a16:creationId xmlns:a16="http://schemas.microsoft.com/office/drawing/2014/main" id="{C6132623-9882-446C-85F8-F573730E88BA}"/>
            </a:ext>
          </a:extLst>
        </xdr:cNvPr>
        <xdr:cNvSpPr/>
      </xdr:nvSpPr>
      <xdr:spPr>
        <a:xfrm>
          <a:off x="2476500" y="33618"/>
          <a:ext cx="2958354" cy="437029"/>
        </a:xfrm>
        <a:prstGeom prst="roundRect">
          <a:avLst/>
        </a:prstGeom>
        <a:solidFill>
          <a:srgbClr val="AADCD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Top Selling Product- Headphone</a:t>
          </a:r>
        </a:p>
      </xdr:txBody>
    </xdr:sp>
    <xdr:clientData/>
  </xdr:twoCellAnchor>
  <xdr:twoCellAnchor>
    <xdr:from>
      <xdr:col>5</xdr:col>
      <xdr:colOff>795617</xdr:colOff>
      <xdr:row>0</xdr:row>
      <xdr:rowOff>33617</xdr:rowOff>
    </xdr:from>
    <xdr:to>
      <xdr:col>11</xdr:col>
      <xdr:colOff>324970</xdr:colOff>
      <xdr:row>2</xdr:row>
      <xdr:rowOff>123264</xdr:rowOff>
    </xdr:to>
    <xdr:sp macro="" textlink="">
      <xdr:nvSpPr>
        <xdr:cNvPr id="22" name="Rectangle: Rounded Corners 21">
          <a:extLst>
            <a:ext uri="{FF2B5EF4-FFF2-40B4-BE49-F238E27FC236}">
              <a16:creationId xmlns:a16="http://schemas.microsoft.com/office/drawing/2014/main" id="{CDFF2A50-C1E3-4EBD-BD0E-B5C0E12384E0}"/>
            </a:ext>
          </a:extLst>
        </xdr:cNvPr>
        <xdr:cNvSpPr/>
      </xdr:nvSpPr>
      <xdr:spPr>
        <a:xfrm>
          <a:off x="5490882" y="33617"/>
          <a:ext cx="4213412" cy="470647"/>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800" b="1">
              <a:solidFill>
                <a:srgbClr val="0070C0"/>
              </a:solidFill>
            </a:rPr>
            <a:t>DashBoard</a:t>
          </a:r>
        </a:p>
      </xdr:txBody>
    </xdr:sp>
    <xdr:clientData/>
  </xdr:twoCellAnchor>
  <xdr:twoCellAnchor editAs="oneCell">
    <xdr:from>
      <xdr:col>4</xdr:col>
      <xdr:colOff>683559</xdr:colOff>
      <xdr:row>2</xdr:row>
      <xdr:rowOff>123264</xdr:rowOff>
    </xdr:from>
    <xdr:to>
      <xdr:col>5</xdr:col>
      <xdr:colOff>325233</xdr:colOff>
      <xdr:row>5</xdr:row>
      <xdr:rowOff>56029</xdr:rowOff>
    </xdr:to>
    <xdr:pic>
      <xdr:nvPicPr>
        <xdr:cNvPr id="25" name="Graphic 24" descr="Female Profile with solid fill">
          <a:extLst>
            <a:ext uri="{FF2B5EF4-FFF2-40B4-BE49-F238E27FC236}">
              <a16:creationId xmlns:a16="http://schemas.microsoft.com/office/drawing/2014/main" id="{3400FF38-87B6-C4B9-F19D-9ACD2C174E5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59941" y="504264"/>
          <a:ext cx="582707" cy="504265"/>
        </a:xfrm>
        <a:prstGeom prst="rect">
          <a:avLst/>
        </a:prstGeom>
      </xdr:spPr>
    </xdr:pic>
    <xdr:clientData/>
  </xdr:twoCellAnchor>
  <xdr:twoCellAnchor editAs="oneCell">
    <xdr:from>
      <xdr:col>6</xdr:col>
      <xdr:colOff>929957</xdr:colOff>
      <xdr:row>0</xdr:row>
      <xdr:rowOff>44955</xdr:rowOff>
    </xdr:from>
    <xdr:to>
      <xdr:col>7</xdr:col>
      <xdr:colOff>582836</xdr:colOff>
      <xdr:row>2</xdr:row>
      <xdr:rowOff>100984</xdr:rowOff>
    </xdr:to>
    <xdr:pic>
      <xdr:nvPicPr>
        <xdr:cNvPr id="27" name="Graphic 26" descr="List with solid fill">
          <a:extLst>
            <a:ext uri="{FF2B5EF4-FFF2-40B4-BE49-F238E27FC236}">
              <a16:creationId xmlns:a16="http://schemas.microsoft.com/office/drawing/2014/main" id="{483CBCE2-E09A-3939-3D74-69E90288390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556352" y="44955"/>
          <a:ext cx="594303" cy="432599"/>
        </a:xfrm>
        <a:prstGeom prst="rect">
          <a:avLst/>
        </a:prstGeom>
      </xdr:spPr>
    </xdr:pic>
    <xdr:clientData/>
  </xdr:twoCellAnchor>
  <xdr:twoCellAnchor editAs="oneCell">
    <xdr:from>
      <xdr:col>8</xdr:col>
      <xdr:colOff>773207</xdr:colOff>
      <xdr:row>0</xdr:row>
      <xdr:rowOff>33617</xdr:rowOff>
    </xdr:from>
    <xdr:to>
      <xdr:col>9</xdr:col>
      <xdr:colOff>33620</xdr:colOff>
      <xdr:row>2</xdr:row>
      <xdr:rowOff>89646</xdr:rowOff>
    </xdr:to>
    <xdr:pic>
      <xdr:nvPicPr>
        <xdr:cNvPr id="28" name="Graphic 27" descr="List with solid fill">
          <a:extLst>
            <a:ext uri="{FF2B5EF4-FFF2-40B4-BE49-F238E27FC236}">
              <a16:creationId xmlns:a16="http://schemas.microsoft.com/office/drawing/2014/main" id="{ADDED149-FD77-4821-923E-912B42A70AA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6678" y="33617"/>
          <a:ext cx="593913" cy="437029"/>
        </a:xfrm>
        <a:prstGeom prst="rect">
          <a:avLst/>
        </a:prstGeom>
      </xdr:spPr>
    </xdr:pic>
    <xdr:clientData/>
  </xdr:twoCellAnchor>
  <xdr:twoCellAnchor editAs="oneCell">
    <xdr:from>
      <xdr:col>5</xdr:col>
      <xdr:colOff>313765</xdr:colOff>
      <xdr:row>0</xdr:row>
      <xdr:rowOff>56030</xdr:rowOff>
    </xdr:from>
    <xdr:to>
      <xdr:col>5</xdr:col>
      <xdr:colOff>739588</xdr:colOff>
      <xdr:row>2</xdr:row>
      <xdr:rowOff>78442</xdr:rowOff>
    </xdr:to>
    <xdr:pic>
      <xdr:nvPicPr>
        <xdr:cNvPr id="34" name="Graphic 33" descr="Bar chart with solid fill">
          <a:extLst>
            <a:ext uri="{FF2B5EF4-FFF2-40B4-BE49-F238E27FC236}">
              <a16:creationId xmlns:a16="http://schemas.microsoft.com/office/drawing/2014/main" id="{54884EC2-5DC5-8B74-DA8E-2F709B4F354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009030" y="56030"/>
          <a:ext cx="425823" cy="403412"/>
        </a:xfrm>
        <a:prstGeom prst="rect">
          <a:avLst/>
        </a:prstGeom>
      </xdr:spPr>
    </xdr:pic>
    <xdr:clientData/>
  </xdr:twoCellAnchor>
  <xdr:twoCellAnchor editAs="oneCell">
    <xdr:from>
      <xdr:col>14</xdr:col>
      <xdr:colOff>89647</xdr:colOff>
      <xdr:row>0</xdr:row>
      <xdr:rowOff>11208</xdr:rowOff>
    </xdr:from>
    <xdr:to>
      <xdr:col>16</xdr:col>
      <xdr:colOff>331694</xdr:colOff>
      <xdr:row>4</xdr:row>
      <xdr:rowOff>163608</xdr:rowOff>
    </xdr:to>
    <xdr:pic>
      <xdr:nvPicPr>
        <xdr:cNvPr id="36" name="Graphic 35" descr="Upward trend with solid fill">
          <a:extLst>
            <a:ext uri="{FF2B5EF4-FFF2-40B4-BE49-F238E27FC236}">
              <a16:creationId xmlns:a16="http://schemas.microsoft.com/office/drawing/2014/main" id="{18DC144B-D075-BE89-22F0-D9C81F034B1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477500" y="11208"/>
          <a:ext cx="914400" cy="914400"/>
        </a:xfrm>
        <a:prstGeom prst="rect">
          <a:avLst/>
        </a:prstGeom>
      </xdr:spPr>
    </xdr:pic>
    <xdr:clientData/>
  </xdr:twoCellAnchor>
  <xdr:twoCellAnchor editAs="oneCell">
    <xdr:from>
      <xdr:col>0</xdr:col>
      <xdr:colOff>190501</xdr:colOff>
      <xdr:row>1</xdr:row>
      <xdr:rowOff>78442</xdr:rowOff>
    </xdr:from>
    <xdr:to>
      <xdr:col>1</xdr:col>
      <xdr:colOff>67236</xdr:colOff>
      <xdr:row>5</xdr:row>
      <xdr:rowOff>67236</xdr:rowOff>
    </xdr:to>
    <xdr:pic>
      <xdr:nvPicPr>
        <xdr:cNvPr id="40" name="Graphic 39" descr="Database with solid fill">
          <a:extLst>
            <a:ext uri="{FF2B5EF4-FFF2-40B4-BE49-F238E27FC236}">
              <a16:creationId xmlns:a16="http://schemas.microsoft.com/office/drawing/2014/main" id="{4FD7FE93-2AF0-96E4-BCB0-910B5E71618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0501" y="268942"/>
          <a:ext cx="750794" cy="7507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371474</xdr:colOff>
      <xdr:row>34</xdr:row>
      <xdr:rowOff>104774</xdr:rowOff>
    </xdr:to>
    <xdr:sp macro="" textlink="">
      <xdr:nvSpPr>
        <xdr:cNvPr id="4" name="Rectangle 3">
          <a:extLst>
            <a:ext uri="{FF2B5EF4-FFF2-40B4-BE49-F238E27FC236}">
              <a16:creationId xmlns:a16="http://schemas.microsoft.com/office/drawing/2014/main" id="{066B9957-121A-D721-1903-DC7F5F3DBEAB}"/>
            </a:ext>
          </a:extLst>
        </xdr:cNvPr>
        <xdr:cNvSpPr/>
      </xdr:nvSpPr>
      <xdr:spPr>
        <a:xfrm>
          <a:off x="0" y="0"/>
          <a:ext cx="16221074" cy="6581774"/>
        </a:xfrm>
        <a:prstGeom prst="rect">
          <a:avLst/>
        </a:prstGeom>
        <a:solidFill>
          <a:schemeClr val="tx1">
            <a:lumMod val="85000"/>
            <a:lumOff val="1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3657600" marR="0" lvl="8" indent="0" algn="l" defTabSz="914400" eaLnBrk="1" fontAlgn="auto" latinLnBrk="0" hangingPunct="1">
            <a:lnSpc>
              <a:spcPct val="100000"/>
            </a:lnSpc>
            <a:spcBef>
              <a:spcPts val="0"/>
            </a:spcBef>
            <a:spcAft>
              <a:spcPts val="0"/>
            </a:spcAft>
            <a:buClrTx/>
            <a:buSzTx/>
            <a:buFontTx/>
            <a:buNone/>
            <a:tabLst/>
            <a:defRPr/>
          </a:pPr>
          <a:r>
            <a:rPr lang="en-US" sz="1100" b="1" u="none" baseline="0">
              <a:solidFill>
                <a:schemeClr val="lt1"/>
              </a:solidFill>
              <a:effectLst/>
              <a:latin typeface="+mn-lt"/>
              <a:ea typeface="+mn-ea"/>
              <a:cs typeface="+mn-cs"/>
            </a:rPr>
            <a:t>                                                  </a:t>
          </a:r>
          <a:r>
            <a:rPr lang="en-US" sz="1600" b="1" u="none" baseline="0">
              <a:solidFill>
                <a:schemeClr val="lt1"/>
              </a:solidFill>
              <a:effectLst/>
              <a:latin typeface="+mn-lt"/>
              <a:ea typeface="+mn-ea"/>
              <a:cs typeface="+mn-cs"/>
            </a:rPr>
            <a:t>DASHBOARD</a:t>
          </a:r>
          <a:endParaRPr lang="en-US" sz="1600" b="1" u="none">
            <a:effectLst/>
          </a:endParaRPr>
        </a:p>
        <a:p>
          <a:pPr algn="ctr"/>
          <a:endParaRPr lang="en-US" sz="1400" b="1" u="sng" baseline="0">
            <a:solidFill>
              <a:schemeClr val="bg1"/>
            </a:solidFill>
          </a:endParaRPr>
        </a:p>
      </xdr:txBody>
    </xdr:sp>
    <xdr:clientData/>
  </xdr:twoCellAnchor>
  <xdr:twoCellAnchor>
    <xdr:from>
      <xdr:col>0</xdr:col>
      <xdr:colOff>447675</xdr:colOff>
      <xdr:row>7</xdr:row>
      <xdr:rowOff>66674</xdr:rowOff>
    </xdr:from>
    <xdr:to>
      <xdr:col>18</xdr:col>
      <xdr:colOff>180975</xdr:colOff>
      <xdr:row>20</xdr:row>
      <xdr:rowOff>19050</xdr:rowOff>
    </xdr:to>
    <xdr:sp macro="" textlink="">
      <xdr:nvSpPr>
        <xdr:cNvPr id="5" name="Rectangle: Rounded Corners 4">
          <a:extLst>
            <a:ext uri="{FF2B5EF4-FFF2-40B4-BE49-F238E27FC236}">
              <a16:creationId xmlns:a16="http://schemas.microsoft.com/office/drawing/2014/main" id="{793A4094-AA05-AE63-7ADE-803AB6720EF6}"/>
            </a:ext>
          </a:extLst>
        </xdr:cNvPr>
        <xdr:cNvSpPr/>
      </xdr:nvSpPr>
      <xdr:spPr>
        <a:xfrm>
          <a:off x="447675" y="1400174"/>
          <a:ext cx="10706100" cy="2428876"/>
        </a:xfrm>
        <a:prstGeom prst="roundRect">
          <a:avLst/>
        </a:prstGeom>
        <a:solidFill>
          <a:schemeClr val="tx1"/>
        </a:solidFill>
        <a:ln>
          <a:solidFill>
            <a:schemeClr val="bg1"/>
          </a:solidFill>
        </a:ln>
        <a:effectLst>
          <a:outerShdw blurRad="50800" dist="2794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xdr:colOff>
      <xdr:row>8</xdr:row>
      <xdr:rowOff>133351</xdr:rowOff>
    </xdr:from>
    <xdr:to>
      <xdr:col>18</xdr:col>
      <xdr:colOff>85724</xdr:colOff>
      <xdr:row>19</xdr:row>
      <xdr:rowOff>95251</xdr:rowOff>
    </xdr:to>
    <xdr:graphicFrame macro="">
      <xdr:nvGraphicFramePr>
        <xdr:cNvPr id="2" name="Chart 1">
          <a:extLst>
            <a:ext uri="{FF2B5EF4-FFF2-40B4-BE49-F238E27FC236}">
              <a16:creationId xmlns:a16="http://schemas.microsoft.com/office/drawing/2014/main" id="{79B88BD6-9D6A-460A-8FF3-B2DB809B1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133350</xdr:colOff>
      <xdr:row>17</xdr:row>
      <xdr:rowOff>180975</xdr:rowOff>
    </xdr:from>
    <xdr:to>
      <xdr:col>15</xdr:col>
      <xdr:colOff>114300</xdr:colOff>
      <xdr:row>19</xdr:row>
      <xdr:rowOff>171451</xdr:rowOff>
    </xdr:to>
    <mc:AlternateContent xmlns:mc="http://schemas.openxmlformats.org/markup-compatibility/2006" xmlns:a14="http://schemas.microsoft.com/office/drawing/2010/main">
      <mc:Choice Requires="a14">
        <xdr:graphicFrame macro="">
          <xdr:nvGraphicFramePr>
            <xdr:cNvPr id="3" name="Name of Month">
              <a:extLst>
                <a:ext uri="{FF2B5EF4-FFF2-40B4-BE49-F238E27FC236}">
                  <a16:creationId xmlns:a16="http://schemas.microsoft.com/office/drawing/2014/main" id="{00E6B82F-675A-4B27-875A-A0888C8FCFD4}"/>
                </a:ext>
              </a:extLst>
            </xdr:cNvPr>
            <xdr:cNvGraphicFramePr/>
          </xdr:nvGraphicFramePr>
          <xdr:xfrm>
            <a:off x="0" y="0"/>
            <a:ext cx="0" cy="0"/>
          </xdr:xfrm>
          <a:graphic>
            <a:graphicData uri="http://schemas.microsoft.com/office/drawing/2010/slicer">
              <sle:slicer xmlns:sle="http://schemas.microsoft.com/office/drawing/2010/slicer" name="Name of Month"/>
            </a:graphicData>
          </a:graphic>
        </xdr:graphicFrame>
      </mc:Choice>
      <mc:Fallback xmlns="">
        <xdr:sp macro="" textlink="">
          <xdr:nvSpPr>
            <xdr:cNvPr id="0" name=""/>
            <xdr:cNvSpPr>
              <a:spLocks noTextEdit="1"/>
            </xdr:cNvSpPr>
          </xdr:nvSpPr>
          <xdr:spPr>
            <a:xfrm>
              <a:off x="1352550" y="3419475"/>
              <a:ext cx="7905750" cy="371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381000</xdr:colOff>
      <xdr:row>4</xdr:row>
      <xdr:rowOff>161923</xdr:rowOff>
    </xdr:from>
    <xdr:to>
      <xdr:col>11</xdr:col>
      <xdr:colOff>180975</xdr:colOff>
      <xdr:row>6</xdr:row>
      <xdr:rowOff>180974</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98DF8468-7612-43BB-A33D-ACE8CA67E0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48200" y="923923"/>
              <a:ext cx="2238375" cy="400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390525</xdr:colOff>
      <xdr:row>9</xdr:row>
      <xdr:rowOff>66675</xdr:rowOff>
    </xdr:from>
    <xdr:to>
      <xdr:col>20</xdr:col>
      <xdr:colOff>228600</xdr:colOff>
      <xdr:row>15</xdr:row>
      <xdr:rowOff>152400</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42080D7F-EEC2-4776-94D5-43BEE3B6B58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363325" y="1781175"/>
              <a:ext cx="1057275"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0.90037</cdr:x>
      <cdr:y>0</cdr:y>
    </cdr:from>
    <cdr:to>
      <cdr:x>0.98812</cdr:x>
      <cdr:y>0.11574</cdr:y>
    </cdr:to>
    <cdr:sp macro="" textlink="">
      <cdr:nvSpPr>
        <cdr:cNvPr id="2" name="Rectangle: Rounded Corners 1">
          <a:extLst xmlns:a="http://schemas.openxmlformats.org/drawingml/2006/main">
            <a:ext uri="{FF2B5EF4-FFF2-40B4-BE49-F238E27FC236}">
              <a16:creationId xmlns:a16="http://schemas.microsoft.com/office/drawing/2014/main" id="{4A18C3C5-0925-BC1A-11D0-4B414F69250A}"/>
            </a:ext>
          </a:extLst>
        </cdr:cNvPr>
        <cdr:cNvSpPr/>
      </cdr:nvSpPr>
      <cdr:spPr>
        <a:xfrm xmlns:a="http://schemas.openxmlformats.org/drawingml/2006/main">
          <a:off x="9382124" y="0"/>
          <a:ext cx="914400" cy="238125"/>
        </a:xfrm>
        <a:prstGeom xmlns:a="http://schemas.openxmlformats.org/drawingml/2006/main" prst="roundRect">
          <a:avLst/>
        </a:prstGeom>
      </cdr:spPr>
      <cdr:style>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r"/>
          <a:r>
            <a:rPr lang="en-US" b="1" kern="1200"/>
            <a:t>4556</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HK-2810" refreshedDate="46098.974341203706" createdVersion="8" refreshedVersion="8" minRefreshableVersion="3" recordCount="50" xr:uid="{EDDB9F12-94B9-41AB-B511-7BFB208160E1}">
  <cacheSource type="worksheet">
    <worksheetSource ref="A1:K51" sheet="Sales Data"/>
  </cacheSource>
  <cacheFields count="11">
    <cacheField name="Order ID" numFmtId="0">
      <sharedItems containsSemiMixedTypes="0" containsString="0" containsNumber="1" containsInteger="1" minValue="1001" maxValue="1050"/>
    </cacheField>
    <cacheField name="Order Date" numFmtId="0">
      <sharedItems/>
    </cacheField>
    <cacheField name="Month" numFmtId="0">
      <sharedItems count="10">
        <s v="January"/>
        <s v="August"/>
        <s v="October"/>
        <s v="April"/>
        <s v="June"/>
        <s v="May"/>
        <s v="September"/>
        <s v="July"/>
        <s v="March"/>
        <s v="February"/>
      </sharedItems>
    </cacheField>
    <cacheField name="Customer Name" numFmtId="0">
      <sharedItems count="17">
        <s v="Nisha Patel"/>
        <s v="Manish Tiwari"/>
        <s v="Sonia Kumari"/>
        <s v="Deepak Yadav"/>
        <s v="Rohit Kumar"/>
        <s v="Sneha Roy"/>
        <s v="Rahul Yadav"/>
        <s v="Kavita Joshi"/>
        <s v="Riya Das"/>
        <s v="Neha Singh"/>
        <s v="Pooja Verma"/>
        <s v="Amit Sharma"/>
        <s v="Ankit Gupta"/>
        <s v="Harsh Agarwal"/>
        <s v="Simran Kaur"/>
        <s v="Arjun Mehta"/>
        <s v="Vikas Singh"/>
      </sharedItems>
    </cacheField>
    <cacheField name="City" numFmtId="0">
      <sharedItems/>
    </cacheField>
    <cacheField name="Region" numFmtId="0">
      <sharedItems count="4">
        <s v="East"/>
        <s v="South"/>
        <s v="West"/>
        <s v="North"/>
      </sharedItems>
    </cacheField>
    <cacheField name="Product Category" numFmtId="0">
      <sharedItems/>
    </cacheField>
    <cacheField name="Product Name" numFmtId="0">
      <sharedItems count="14">
        <s v="Rice"/>
        <s v="Headphones"/>
        <s v="Oil"/>
        <s v="Tablet"/>
        <s v="T-Shirt"/>
        <s v="Jeans"/>
        <s v="Sugar"/>
        <s v="Jacket"/>
        <s v="Wardrobe"/>
        <s v="Table"/>
        <s v="Shirt"/>
        <s v="Chair"/>
        <s v="Laptop"/>
        <s v="Sofa"/>
      </sharedItems>
    </cacheField>
    <cacheField name="Sales Amount" numFmtId="0">
      <sharedItems containsSemiMixedTypes="0" containsString="0" containsNumber="1" containsInteger="1" minValue="710" maxValue="44577" count="50">
        <n v="18792"/>
        <n v="16910"/>
        <n v="1426"/>
        <n v="18188"/>
        <n v="16944"/>
        <n v="18105"/>
        <n v="2612"/>
        <n v="32580"/>
        <n v="6741"/>
        <n v="7284"/>
        <n v="9814"/>
        <n v="710"/>
        <n v="39048"/>
        <n v="2093"/>
        <n v="3864"/>
        <n v="35160"/>
        <n v="7899"/>
        <n v="9140"/>
        <n v="44577"/>
        <n v="5478"/>
        <n v="9816"/>
        <n v="41040"/>
        <n v="2841"/>
        <n v="6432"/>
        <n v="19019"/>
        <n v="40041"/>
        <n v="5787"/>
        <n v="18008"/>
        <n v="3980"/>
        <n v="3549"/>
        <n v="2968"/>
        <n v="28315"/>
        <n v="8834"/>
        <n v="12828"/>
        <n v="21130"/>
        <n v="11967"/>
        <n v="8409"/>
        <n v="37480"/>
        <n v="32914"/>
        <n v="22428"/>
        <n v="7335"/>
        <n v="35433"/>
        <n v="9279"/>
        <n v="9980"/>
        <n v="20632"/>
        <n v="7702"/>
        <n v="13248"/>
        <n v="12528"/>
        <n v="23240"/>
        <n v="12498"/>
      </sharedItems>
    </cacheField>
    <cacheField name="Quantity" numFmtId="0">
      <sharedItems containsSemiMixedTypes="0" containsString="0" containsNumber="1" containsInteger="1" minValue="1" maxValue="10"/>
    </cacheField>
    <cacheField name="Salesperson" numFmtId="0">
      <sharedItems count="6">
        <s v="Sneha"/>
        <s v="Neha"/>
        <s v="Priya"/>
        <s v="Amit"/>
        <s v="Vikas"/>
        <s v="Rahul"/>
      </sharedItems>
    </cacheField>
  </cacheFields>
  <extLst>
    <ext xmlns:x14="http://schemas.microsoft.com/office/spreadsheetml/2009/9/main" uri="{725AE2AE-9491-48be-B2B4-4EB974FC3084}">
      <x14:pivotCacheDefinition pivotCacheId="19069860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HK-2810" refreshedDate="46102.971335416667" createdVersion="8" refreshedVersion="8" minRefreshableVersion="3" recordCount="50" xr:uid="{EBD4204F-78C8-47AF-976D-FF4200F0A0D1}">
  <cacheSource type="worksheet">
    <worksheetSource name="Mydata"/>
  </cacheSource>
  <cacheFields count="6">
    <cacheField name="Year" numFmtId="0">
      <sharedItems containsSemiMixedTypes="0" containsString="0" containsNumber="1" containsInteger="1" minValue="2023" maxValue="2025" count="3">
        <n v="2025"/>
        <n v="2024"/>
        <n v="2023"/>
      </sharedItems>
    </cacheField>
    <cacheField name="Month" numFmtId="0">
      <sharedItems containsSemiMixedTypes="0" containsString="0" containsNumber="1" containsInteger="1" minValue="1" maxValue="12" count="11">
        <n v="12"/>
        <n v="9"/>
        <n v="11"/>
        <n v="8"/>
        <n v="3"/>
        <n v="2"/>
        <n v="5"/>
        <n v="10"/>
        <n v="1"/>
        <n v="4"/>
        <n v="7"/>
      </sharedItems>
    </cacheField>
    <cacheField name="Name of Month" numFmtId="0">
      <sharedItems count="11">
        <s v="December"/>
        <s v="September"/>
        <s v="November"/>
        <s v="August"/>
        <s v="March"/>
        <s v="February"/>
        <s v="May"/>
        <s v="October"/>
        <s v="January"/>
        <s v="April"/>
        <s v="July"/>
      </sharedItems>
    </cacheField>
    <cacheField name="Department" numFmtId="0">
      <sharedItems count="4">
        <s v="HR"/>
        <s v="IT"/>
        <s v="Sales"/>
        <s v="Marketing"/>
      </sharedItems>
    </cacheField>
    <cacheField name="Influx of New Client" numFmtId="0">
      <sharedItems containsSemiMixedTypes="0" containsString="0" containsNumber="1" containsInteger="1" minValue="20" maxValue="195"/>
    </cacheField>
    <cacheField name="Target Achieved" numFmtId="0">
      <sharedItems/>
    </cacheField>
  </cacheFields>
  <extLst>
    <ext xmlns:x14="http://schemas.microsoft.com/office/spreadsheetml/2009/9/main" uri="{725AE2AE-9491-48be-B2B4-4EB974FC3084}">
      <x14:pivotCacheDefinition pivotCacheId="157688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s v="09-01-2025"/>
    <x v="0"/>
    <x v="0"/>
    <s v="Patna"/>
    <x v="0"/>
    <s v="Grocery"/>
    <x v="0"/>
    <x v="0"/>
    <n v="6"/>
    <x v="0"/>
  </r>
  <r>
    <n v="1002"/>
    <s v="09-08-2025"/>
    <x v="1"/>
    <x v="1"/>
    <s v="Bangalore"/>
    <x v="1"/>
    <s v="Electronics"/>
    <x v="1"/>
    <x v="1"/>
    <n v="5"/>
    <x v="1"/>
  </r>
  <r>
    <n v="1003"/>
    <s v="22-10-2025"/>
    <x v="2"/>
    <x v="2"/>
    <s v="Kolkata"/>
    <x v="0"/>
    <s v="Grocery"/>
    <x v="2"/>
    <x v="2"/>
    <n v="1"/>
    <x v="2"/>
  </r>
  <r>
    <n v="1004"/>
    <s v="26-04-2025"/>
    <x v="3"/>
    <x v="3"/>
    <s v="Mumbai"/>
    <x v="2"/>
    <s v="Electronics"/>
    <x v="3"/>
    <x v="3"/>
    <n v="4"/>
    <x v="3"/>
  </r>
  <r>
    <n v="1005"/>
    <s v="16-04-2025"/>
    <x v="3"/>
    <x v="4"/>
    <s v="Chennai"/>
    <x v="1"/>
    <s v="Clothing"/>
    <x v="4"/>
    <x v="4"/>
    <n v="4"/>
    <x v="2"/>
  </r>
  <r>
    <n v="1006"/>
    <s v="13-01-2025"/>
    <x v="0"/>
    <x v="5"/>
    <s v="Bangalore"/>
    <x v="1"/>
    <s v="Clothing"/>
    <x v="5"/>
    <x v="5"/>
    <n v="5"/>
    <x v="4"/>
  </r>
  <r>
    <n v="1007"/>
    <s v="05-06-2025"/>
    <x v="4"/>
    <x v="6"/>
    <s v="Chennai"/>
    <x v="1"/>
    <s v="Grocery"/>
    <x v="6"/>
    <x v="6"/>
    <n v="4"/>
    <x v="4"/>
  </r>
  <r>
    <n v="1008"/>
    <s v="05-10-2025"/>
    <x v="2"/>
    <x v="7"/>
    <s v="Kolkata"/>
    <x v="0"/>
    <s v="Grocery"/>
    <x v="2"/>
    <x v="7"/>
    <n v="9"/>
    <x v="2"/>
  </r>
  <r>
    <n v="1009"/>
    <s v="13-05-2025"/>
    <x v="5"/>
    <x v="8"/>
    <s v="Kolkata"/>
    <x v="0"/>
    <s v="Clothing"/>
    <x v="7"/>
    <x v="8"/>
    <n v="3"/>
    <x v="2"/>
  </r>
  <r>
    <n v="1010"/>
    <s v="23-04-2025"/>
    <x v="3"/>
    <x v="9"/>
    <s v="Kolkata"/>
    <x v="0"/>
    <s v="Furniture"/>
    <x v="8"/>
    <x v="9"/>
    <n v="4"/>
    <x v="2"/>
  </r>
  <r>
    <n v="1011"/>
    <s v="10-05-2025"/>
    <x v="5"/>
    <x v="3"/>
    <s v="Lucknow"/>
    <x v="3"/>
    <s v="Furniture"/>
    <x v="9"/>
    <x v="10"/>
    <n v="2"/>
    <x v="4"/>
  </r>
  <r>
    <n v="1012"/>
    <s v="18-09-2025"/>
    <x v="6"/>
    <x v="4"/>
    <s v="Lucknow"/>
    <x v="3"/>
    <s v="Clothing"/>
    <x v="10"/>
    <x v="11"/>
    <n v="1"/>
    <x v="3"/>
  </r>
  <r>
    <n v="1013"/>
    <s v="31-01-2025"/>
    <x v="0"/>
    <x v="5"/>
    <s v="Patna"/>
    <x v="0"/>
    <s v="Clothing"/>
    <x v="5"/>
    <x v="12"/>
    <n v="8"/>
    <x v="0"/>
  </r>
  <r>
    <n v="1014"/>
    <s v="09-01-2025"/>
    <x v="0"/>
    <x v="8"/>
    <s v="Bangalore"/>
    <x v="1"/>
    <s v="Grocery"/>
    <x v="2"/>
    <x v="13"/>
    <n v="1"/>
    <x v="0"/>
  </r>
  <r>
    <n v="1015"/>
    <s v="15-01-2025"/>
    <x v="0"/>
    <x v="9"/>
    <s v="Bangalore"/>
    <x v="1"/>
    <s v="Clothing"/>
    <x v="4"/>
    <x v="14"/>
    <n v="7"/>
    <x v="0"/>
  </r>
  <r>
    <n v="1016"/>
    <s v="20-04-2025"/>
    <x v="3"/>
    <x v="6"/>
    <s v="Lucknow"/>
    <x v="3"/>
    <s v="Grocery"/>
    <x v="6"/>
    <x v="15"/>
    <n v="10"/>
    <x v="1"/>
  </r>
  <r>
    <n v="1017"/>
    <s v="17-06-2025"/>
    <x v="4"/>
    <x v="10"/>
    <s v="Lucknow"/>
    <x v="3"/>
    <s v="Grocery"/>
    <x v="6"/>
    <x v="16"/>
    <n v="3"/>
    <x v="0"/>
  </r>
  <r>
    <n v="1018"/>
    <s v="28-06-2025"/>
    <x v="4"/>
    <x v="11"/>
    <s v="Chennai"/>
    <x v="1"/>
    <s v="Electronics"/>
    <x v="3"/>
    <x v="17"/>
    <n v="4"/>
    <x v="3"/>
  </r>
  <r>
    <n v="1019"/>
    <s v="04-07-2025"/>
    <x v="7"/>
    <x v="7"/>
    <s v="Mumbai"/>
    <x v="2"/>
    <s v="Electronics"/>
    <x v="1"/>
    <x v="18"/>
    <n v="9"/>
    <x v="0"/>
  </r>
  <r>
    <n v="1020"/>
    <s v="18-06-2025"/>
    <x v="4"/>
    <x v="12"/>
    <s v="Patna"/>
    <x v="0"/>
    <s v="Electronics"/>
    <x v="1"/>
    <x v="19"/>
    <n v="6"/>
    <x v="0"/>
  </r>
  <r>
    <n v="1021"/>
    <s v="17-01-2025"/>
    <x v="0"/>
    <x v="6"/>
    <s v="Delhi"/>
    <x v="3"/>
    <s v="Grocery"/>
    <x v="6"/>
    <x v="20"/>
    <n v="6"/>
    <x v="1"/>
  </r>
  <r>
    <n v="1022"/>
    <s v="20-01-2025"/>
    <x v="0"/>
    <x v="13"/>
    <s v="Patna"/>
    <x v="0"/>
    <s v="Clothing"/>
    <x v="10"/>
    <x v="21"/>
    <n v="9"/>
    <x v="0"/>
  </r>
  <r>
    <n v="1023"/>
    <s v="24-09-2025"/>
    <x v="6"/>
    <x v="10"/>
    <s v="Delhi"/>
    <x v="3"/>
    <s v="Clothing"/>
    <x v="4"/>
    <x v="22"/>
    <n v="3"/>
    <x v="0"/>
  </r>
  <r>
    <n v="1024"/>
    <s v="12-03-2025"/>
    <x v="8"/>
    <x v="6"/>
    <s v="Mumbai"/>
    <x v="2"/>
    <s v="Furniture"/>
    <x v="11"/>
    <x v="23"/>
    <n v="8"/>
    <x v="5"/>
  </r>
  <r>
    <n v="1025"/>
    <s v="06-07-2025"/>
    <x v="7"/>
    <x v="5"/>
    <s v="Hyderabad"/>
    <x v="1"/>
    <s v="Clothing"/>
    <x v="4"/>
    <x v="24"/>
    <n v="7"/>
    <x v="5"/>
  </r>
  <r>
    <n v="1026"/>
    <s v="02-07-2025"/>
    <x v="7"/>
    <x v="7"/>
    <s v="Bangalore"/>
    <x v="1"/>
    <s v="Electronics"/>
    <x v="1"/>
    <x v="25"/>
    <n v="9"/>
    <x v="3"/>
  </r>
  <r>
    <n v="1027"/>
    <s v="25-07-2025"/>
    <x v="7"/>
    <x v="6"/>
    <s v="Delhi"/>
    <x v="3"/>
    <s v="Clothing"/>
    <x v="7"/>
    <x v="26"/>
    <n v="9"/>
    <x v="5"/>
  </r>
  <r>
    <n v="1028"/>
    <s v="14-08-2025"/>
    <x v="1"/>
    <x v="9"/>
    <s v="Patna"/>
    <x v="0"/>
    <s v="Furniture"/>
    <x v="11"/>
    <x v="27"/>
    <n v="8"/>
    <x v="4"/>
  </r>
  <r>
    <n v="1029"/>
    <s v="25-04-2025"/>
    <x v="3"/>
    <x v="2"/>
    <s v="Patna"/>
    <x v="0"/>
    <s v="Electronics"/>
    <x v="3"/>
    <x v="28"/>
    <n v="4"/>
    <x v="3"/>
  </r>
  <r>
    <n v="1030"/>
    <s v="09-04-2025"/>
    <x v="3"/>
    <x v="11"/>
    <s v="Bangalore"/>
    <x v="1"/>
    <s v="Furniture"/>
    <x v="8"/>
    <x v="29"/>
    <n v="1"/>
    <x v="1"/>
  </r>
  <r>
    <n v="1031"/>
    <s v="22-02-2025"/>
    <x v="9"/>
    <x v="4"/>
    <s v="Hyderabad"/>
    <x v="1"/>
    <s v="Clothing"/>
    <x v="7"/>
    <x v="30"/>
    <n v="1"/>
    <x v="0"/>
  </r>
  <r>
    <n v="1032"/>
    <s v="11-04-2025"/>
    <x v="3"/>
    <x v="1"/>
    <s v="Mumbai"/>
    <x v="2"/>
    <s v="Clothing"/>
    <x v="4"/>
    <x v="31"/>
    <n v="7"/>
    <x v="0"/>
  </r>
  <r>
    <n v="1033"/>
    <s v="10-08-2025"/>
    <x v="1"/>
    <x v="9"/>
    <s v="Chennai"/>
    <x v="1"/>
    <s v="Electronics"/>
    <x v="12"/>
    <x v="32"/>
    <n v="7"/>
    <x v="2"/>
  </r>
  <r>
    <n v="1034"/>
    <s v="27-05-2025"/>
    <x v="5"/>
    <x v="11"/>
    <s v="Hyderabad"/>
    <x v="1"/>
    <s v="Clothing"/>
    <x v="5"/>
    <x v="33"/>
    <n v="4"/>
    <x v="4"/>
  </r>
  <r>
    <n v="1035"/>
    <s v="07-05-2025"/>
    <x v="5"/>
    <x v="12"/>
    <s v="Hyderabad"/>
    <x v="1"/>
    <s v="Grocery"/>
    <x v="6"/>
    <x v="34"/>
    <n v="5"/>
    <x v="3"/>
  </r>
  <r>
    <n v="1036"/>
    <s v="05-04-2025"/>
    <x v="3"/>
    <x v="14"/>
    <s v="Delhi"/>
    <x v="3"/>
    <s v="Grocery"/>
    <x v="2"/>
    <x v="35"/>
    <n v="3"/>
    <x v="1"/>
  </r>
  <r>
    <n v="1037"/>
    <s v="08-03-2025"/>
    <x v="8"/>
    <x v="15"/>
    <s v="Patna"/>
    <x v="0"/>
    <s v="Electronics"/>
    <x v="12"/>
    <x v="36"/>
    <n v="3"/>
    <x v="3"/>
  </r>
  <r>
    <n v="1038"/>
    <s v="10-05-2025"/>
    <x v="5"/>
    <x v="7"/>
    <s v="Chennai"/>
    <x v="1"/>
    <s v="Electronics"/>
    <x v="1"/>
    <x v="37"/>
    <n v="10"/>
    <x v="2"/>
  </r>
  <r>
    <n v="1039"/>
    <s v="17-08-2025"/>
    <x v="1"/>
    <x v="6"/>
    <s v="Chennai"/>
    <x v="1"/>
    <s v="Electronics"/>
    <x v="12"/>
    <x v="38"/>
    <n v="7"/>
    <x v="1"/>
  </r>
  <r>
    <n v="1040"/>
    <s v="14-06-2025"/>
    <x v="4"/>
    <x v="0"/>
    <s v="Mumbai"/>
    <x v="2"/>
    <s v="Furniture"/>
    <x v="13"/>
    <x v="39"/>
    <n v="9"/>
    <x v="1"/>
  </r>
  <r>
    <n v="1041"/>
    <s v="18-07-2025"/>
    <x v="7"/>
    <x v="16"/>
    <s v="Patna"/>
    <x v="0"/>
    <s v="Electronics"/>
    <x v="1"/>
    <x v="40"/>
    <n v="3"/>
    <x v="2"/>
  </r>
  <r>
    <n v="1042"/>
    <s v="15-04-2025"/>
    <x v="3"/>
    <x v="5"/>
    <s v="Lucknow"/>
    <x v="3"/>
    <s v="Clothing"/>
    <x v="5"/>
    <x v="41"/>
    <n v="9"/>
    <x v="1"/>
  </r>
  <r>
    <n v="1043"/>
    <s v="02-03-2025"/>
    <x v="8"/>
    <x v="0"/>
    <s v="Bangalore"/>
    <x v="1"/>
    <s v="Clothing"/>
    <x v="10"/>
    <x v="42"/>
    <n v="3"/>
    <x v="2"/>
  </r>
  <r>
    <n v="1044"/>
    <s v="04-06-2025"/>
    <x v="4"/>
    <x v="0"/>
    <s v="Kolkata"/>
    <x v="0"/>
    <s v="Clothing"/>
    <x v="10"/>
    <x v="43"/>
    <n v="5"/>
    <x v="3"/>
  </r>
  <r>
    <n v="1045"/>
    <s v="12-06-2025"/>
    <x v="4"/>
    <x v="0"/>
    <s v="Hyderabad"/>
    <x v="1"/>
    <s v="Furniture"/>
    <x v="8"/>
    <x v="44"/>
    <n v="8"/>
    <x v="4"/>
  </r>
  <r>
    <n v="1046"/>
    <s v="16-07-2025"/>
    <x v="7"/>
    <x v="8"/>
    <s v="Hyderabad"/>
    <x v="1"/>
    <s v="Furniture"/>
    <x v="8"/>
    <x v="45"/>
    <n v="2"/>
    <x v="3"/>
  </r>
  <r>
    <n v="1047"/>
    <s v="10-09-2025"/>
    <x v="6"/>
    <x v="3"/>
    <s v="Mumbai"/>
    <x v="2"/>
    <s v="Clothing"/>
    <x v="7"/>
    <x v="46"/>
    <n v="9"/>
    <x v="1"/>
  </r>
  <r>
    <n v="1048"/>
    <s v="14-10-2025"/>
    <x v="2"/>
    <x v="7"/>
    <s v="Patna"/>
    <x v="0"/>
    <s v="Clothing"/>
    <x v="10"/>
    <x v="47"/>
    <n v="9"/>
    <x v="2"/>
  </r>
  <r>
    <n v="1049"/>
    <s v="28-06-2025"/>
    <x v="4"/>
    <x v="3"/>
    <s v="Delhi"/>
    <x v="3"/>
    <s v="Furniture"/>
    <x v="11"/>
    <x v="48"/>
    <n v="5"/>
    <x v="1"/>
  </r>
  <r>
    <n v="1050"/>
    <s v="07-02-2025"/>
    <x v="9"/>
    <x v="2"/>
    <s v="Bangalore"/>
    <x v="1"/>
    <s v="Grocery"/>
    <x v="2"/>
    <x v="49"/>
    <n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n v="142"/>
    <s v="Yes"/>
  </r>
  <r>
    <x v="0"/>
    <x v="1"/>
    <x v="1"/>
    <x v="1"/>
    <n v="52"/>
    <s v="Yes"/>
  </r>
  <r>
    <x v="1"/>
    <x v="2"/>
    <x v="2"/>
    <x v="0"/>
    <n v="96"/>
    <s v="Yes"/>
  </r>
  <r>
    <x v="0"/>
    <x v="0"/>
    <x v="0"/>
    <x v="1"/>
    <n v="56"/>
    <s v="Yes"/>
  </r>
  <r>
    <x v="1"/>
    <x v="3"/>
    <x v="3"/>
    <x v="1"/>
    <n v="86"/>
    <s v="Yes"/>
  </r>
  <r>
    <x v="2"/>
    <x v="0"/>
    <x v="0"/>
    <x v="0"/>
    <n v="64"/>
    <s v="Yes"/>
  </r>
  <r>
    <x v="1"/>
    <x v="2"/>
    <x v="2"/>
    <x v="0"/>
    <n v="52"/>
    <s v="Yes"/>
  </r>
  <r>
    <x v="1"/>
    <x v="4"/>
    <x v="4"/>
    <x v="2"/>
    <n v="20"/>
    <s v="No"/>
  </r>
  <r>
    <x v="1"/>
    <x v="5"/>
    <x v="5"/>
    <x v="2"/>
    <n v="105"/>
    <s v="Yes"/>
  </r>
  <r>
    <x v="2"/>
    <x v="6"/>
    <x v="6"/>
    <x v="0"/>
    <n v="53"/>
    <s v="Yes"/>
  </r>
  <r>
    <x v="0"/>
    <x v="6"/>
    <x v="6"/>
    <x v="0"/>
    <n v="20"/>
    <s v="Yes"/>
  </r>
  <r>
    <x v="2"/>
    <x v="7"/>
    <x v="7"/>
    <x v="2"/>
    <n v="195"/>
    <s v="Yes"/>
  </r>
  <r>
    <x v="0"/>
    <x v="8"/>
    <x v="8"/>
    <x v="3"/>
    <n v="48"/>
    <s v="Yes"/>
  </r>
  <r>
    <x v="2"/>
    <x v="1"/>
    <x v="1"/>
    <x v="2"/>
    <n v="176"/>
    <s v="No"/>
  </r>
  <r>
    <x v="2"/>
    <x v="4"/>
    <x v="4"/>
    <x v="1"/>
    <n v="112"/>
    <s v="No"/>
  </r>
  <r>
    <x v="2"/>
    <x v="9"/>
    <x v="9"/>
    <x v="2"/>
    <n v="97"/>
    <s v="No"/>
  </r>
  <r>
    <x v="1"/>
    <x v="4"/>
    <x v="4"/>
    <x v="2"/>
    <n v="46"/>
    <s v="Yes"/>
  </r>
  <r>
    <x v="0"/>
    <x v="0"/>
    <x v="0"/>
    <x v="1"/>
    <n v="156"/>
    <s v="Yes"/>
  </r>
  <r>
    <x v="1"/>
    <x v="4"/>
    <x v="4"/>
    <x v="3"/>
    <n v="146"/>
    <s v="Yes"/>
  </r>
  <r>
    <x v="0"/>
    <x v="2"/>
    <x v="2"/>
    <x v="1"/>
    <n v="84"/>
    <s v="No"/>
  </r>
  <r>
    <x v="2"/>
    <x v="0"/>
    <x v="0"/>
    <x v="3"/>
    <n v="127"/>
    <s v="No"/>
  </r>
  <r>
    <x v="0"/>
    <x v="4"/>
    <x v="4"/>
    <x v="0"/>
    <n v="47"/>
    <s v="Yes"/>
  </r>
  <r>
    <x v="1"/>
    <x v="8"/>
    <x v="8"/>
    <x v="1"/>
    <n v="91"/>
    <s v="Yes"/>
  </r>
  <r>
    <x v="2"/>
    <x v="8"/>
    <x v="8"/>
    <x v="0"/>
    <n v="152"/>
    <s v="No"/>
  </r>
  <r>
    <x v="2"/>
    <x v="6"/>
    <x v="6"/>
    <x v="1"/>
    <n v="41"/>
    <s v="Yes"/>
  </r>
  <r>
    <x v="0"/>
    <x v="8"/>
    <x v="8"/>
    <x v="2"/>
    <n v="117"/>
    <s v="Yes"/>
  </r>
  <r>
    <x v="2"/>
    <x v="10"/>
    <x v="10"/>
    <x v="3"/>
    <n v="64"/>
    <s v="No"/>
  </r>
  <r>
    <x v="2"/>
    <x v="4"/>
    <x v="4"/>
    <x v="0"/>
    <n v="173"/>
    <s v="No"/>
  </r>
  <r>
    <x v="0"/>
    <x v="3"/>
    <x v="3"/>
    <x v="3"/>
    <n v="102"/>
    <s v="No"/>
  </r>
  <r>
    <x v="1"/>
    <x v="7"/>
    <x v="7"/>
    <x v="3"/>
    <n v="143"/>
    <s v="Yes"/>
  </r>
  <r>
    <x v="1"/>
    <x v="6"/>
    <x v="6"/>
    <x v="1"/>
    <n v="138"/>
    <s v="Yes"/>
  </r>
  <r>
    <x v="1"/>
    <x v="5"/>
    <x v="5"/>
    <x v="3"/>
    <n v="98"/>
    <s v="No"/>
  </r>
  <r>
    <x v="2"/>
    <x v="5"/>
    <x v="5"/>
    <x v="0"/>
    <n v="117"/>
    <s v="Yes"/>
  </r>
  <r>
    <x v="1"/>
    <x v="10"/>
    <x v="10"/>
    <x v="1"/>
    <n v="187"/>
    <s v="Yes"/>
  </r>
  <r>
    <x v="2"/>
    <x v="3"/>
    <x v="3"/>
    <x v="0"/>
    <n v="81"/>
    <s v="Yes"/>
  </r>
  <r>
    <x v="2"/>
    <x v="10"/>
    <x v="10"/>
    <x v="0"/>
    <n v="67"/>
    <s v="Yes"/>
  </r>
  <r>
    <x v="2"/>
    <x v="0"/>
    <x v="0"/>
    <x v="3"/>
    <n v="138"/>
    <s v="Yes"/>
  </r>
  <r>
    <x v="1"/>
    <x v="4"/>
    <x v="4"/>
    <x v="2"/>
    <n v="35"/>
    <s v="Yes"/>
  </r>
  <r>
    <x v="1"/>
    <x v="2"/>
    <x v="2"/>
    <x v="2"/>
    <n v="86"/>
    <s v="Yes"/>
  </r>
  <r>
    <x v="0"/>
    <x v="5"/>
    <x v="5"/>
    <x v="0"/>
    <n v="28"/>
    <s v="No"/>
  </r>
  <r>
    <x v="2"/>
    <x v="1"/>
    <x v="1"/>
    <x v="3"/>
    <n v="162"/>
    <s v="No"/>
  </r>
  <r>
    <x v="1"/>
    <x v="6"/>
    <x v="6"/>
    <x v="1"/>
    <n v="90"/>
    <s v="No"/>
  </r>
  <r>
    <x v="1"/>
    <x v="8"/>
    <x v="8"/>
    <x v="2"/>
    <n v="33"/>
    <s v="No"/>
  </r>
  <r>
    <x v="0"/>
    <x v="4"/>
    <x v="4"/>
    <x v="3"/>
    <n v="134"/>
    <s v="Yes"/>
  </r>
  <r>
    <x v="1"/>
    <x v="7"/>
    <x v="7"/>
    <x v="2"/>
    <n v="33"/>
    <s v="Yes"/>
  </r>
  <r>
    <x v="2"/>
    <x v="8"/>
    <x v="8"/>
    <x v="2"/>
    <n v="63"/>
    <s v="No"/>
  </r>
  <r>
    <x v="1"/>
    <x v="4"/>
    <x v="4"/>
    <x v="0"/>
    <n v="44"/>
    <s v="Yes"/>
  </r>
  <r>
    <x v="2"/>
    <x v="5"/>
    <x v="5"/>
    <x v="2"/>
    <n v="194"/>
    <s v="Yes"/>
  </r>
  <r>
    <x v="0"/>
    <x v="2"/>
    <x v="2"/>
    <x v="2"/>
    <n v="36"/>
    <s v="No"/>
  </r>
  <r>
    <x v="1"/>
    <x v="4"/>
    <x v="4"/>
    <x v="3"/>
    <n v="29"/>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636E7F-B5F7-4F1B-81C5-C9F62C3315C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4" rowHeaderCaption="Sales Person">
  <location ref="D15:E20" firstHeaderRow="1" firstDataRow="1" firstDataCol="1"/>
  <pivotFields count="11">
    <pivotField showAll="0"/>
    <pivotField showAll="0"/>
    <pivotField showAll="0">
      <items count="11">
        <item h="1" x="0"/>
        <item h="1" x="9"/>
        <item h="1" x="8"/>
        <item x="3"/>
        <item h="1" x="5"/>
        <item h="1" x="4"/>
        <item h="1" x="7"/>
        <item h="1" x="1"/>
        <item h="1" x="6"/>
        <item h="1" x="2"/>
        <item t="default"/>
      </items>
    </pivotField>
    <pivotField showAll="0">
      <items count="18">
        <item x="11"/>
        <item x="12"/>
        <item x="15"/>
        <item x="3"/>
        <item x="13"/>
        <item x="7"/>
        <item x="1"/>
        <item x="9"/>
        <item x="0"/>
        <item x="10"/>
        <item x="6"/>
        <item x="8"/>
        <item x="4"/>
        <item x="14"/>
        <item x="5"/>
        <item x="2"/>
        <item x="16"/>
        <item t="default"/>
      </items>
    </pivotField>
    <pivotField showAll="0"/>
    <pivotField showAll="0">
      <items count="5">
        <item x="0"/>
        <item h="1" x="3"/>
        <item h="1" x="1"/>
        <item h="1" x="2"/>
        <item t="default"/>
      </items>
    </pivotField>
    <pivotField showAll="0"/>
    <pivotField showAll="0"/>
    <pivotField dataField="1" showAll="0">
      <items count="51">
        <item x="11"/>
        <item x="2"/>
        <item x="13"/>
        <item x="6"/>
        <item x="22"/>
        <item x="30"/>
        <item x="29"/>
        <item x="14"/>
        <item x="28"/>
        <item x="19"/>
        <item x="26"/>
        <item x="23"/>
        <item x="8"/>
        <item x="9"/>
        <item x="40"/>
        <item x="45"/>
        <item x="16"/>
        <item x="36"/>
        <item x="32"/>
        <item x="17"/>
        <item x="42"/>
        <item x="10"/>
        <item x="20"/>
        <item x="43"/>
        <item x="35"/>
        <item x="49"/>
        <item x="47"/>
        <item x="33"/>
        <item x="46"/>
        <item x="1"/>
        <item x="4"/>
        <item x="27"/>
        <item x="5"/>
        <item x="3"/>
        <item x="0"/>
        <item x="24"/>
        <item x="44"/>
        <item x="34"/>
        <item x="39"/>
        <item x="48"/>
        <item x="31"/>
        <item x="7"/>
        <item x="38"/>
        <item x="15"/>
        <item x="41"/>
        <item x="37"/>
        <item x="12"/>
        <item x="25"/>
        <item x="21"/>
        <item x="18"/>
        <item t="default"/>
      </items>
    </pivotField>
    <pivotField showAll="0"/>
    <pivotField axis="axisRow" showAll="0" measureFilter="1">
      <items count="7">
        <item x="3"/>
        <item x="1"/>
        <item x="2"/>
        <item x="5"/>
        <item x="0"/>
        <item x="4"/>
        <item t="default"/>
      </items>
    </pivotField>
  </pivotFields>
  <rowFields count="1">
    <field x="10"/>
  </rowFields>
  <rowItems count="5">
    <i>
      <x/>
    </i>
    <i>
      <x v="2"/>
    </i>
    <i>
      <x v="4"/>
    </i>
    <i>
      <x v="5"/>
    </i>
    <i t="grand">
      <x/>
    </i>
  </rowItems>
  <colItems count="1">
    <i/>
  </colItems>
  <dataFields count="1">
    <dataField name=" Sales Amount" fld="8" baseField="10" baseItem="0"/>
  </dataFields>
  <formats count="35">
    <format dxfId="34">
      <pivotArea dataOnly="0" labelOnly="1" fieldPosition="0">
        <references count="1">
          <reference field="10" count="0"/>
        </references>
      </pivotArea>
    </format>
    <format dxfId="33">
      <pivotArea dataOnly="0" labelOnly="1" grandRow="1" outline="0" fieldPosition="0"/>
    </format>
    <format dxfId="32">
      <pivotArea collapsedLevelsAreSubtotals="1" fieldPosition="0">
        <references count="1">
          <reference field="10" count="4">
            <x v="0"/>
            <x v="2"/>
            <x v="4"/>
            <x v="5"/>
          </reference>
        </references>
      </pivotArea>
    </format>
    <format dxfId="31">
      <pivotArea outline="0" collapsedLevelsAreSubtotals="1"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10" type="button" dataOnly="0" labelOnly="1" outline="0" axis="axisRow" fieldPosition="0"/>
    </format>
    <format dxfId="26">
      <pivotArea dataOnly="0" labelOnly="1" fieldPosition="0">
        <references count="1">
          <reference field="10" count="4">
            <x v="0"/>
            <x v="2"/>
            <x v="4"/>
            <x v="5"/>
          </reference>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0" type="button" dataOnly="0" labelOnly="1" outline="0" axis="axisRow" fieldPosition="0"/>
    </format>
    <format dxfId="20">
      <pivotArea dataOnly="0" labelOnly="1" fieldPosition="0">
        <references count="1">
          <reference field="10" count="4">
            <x v="0"/>
            <x v="2"/>
            <x v="4"/>
            <x v="5"/>
          </reference>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0" type="button" dataOnly="0" labelOnly="1" outline="0" axis="axisRow" fieldPosition="0"/>
    </format>
    <format dxfId="14">
      <pivotArea dataOnly="0" labelOnly="1" fieldPosition="0">
        <references count="1">
          <reference field="10" count="4">
            <x v="0"/>
            <x v="2"/>
            <x v="4"/>
            <x v="5"/>
          </reference>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4">
            <x v="0"/>
            <x v="2"/>
            <x v="4"/>
            <x v="5"/>
          </reference>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4">
            <x v="0"/>
            <x v="2"/>
            <x v="4"/>
            <x v="5"/>
          </reference>
        </references>
      </pivotArea>
    </format>
    <format dxfId="1">
      <pivotArea dataOnly="0" labelOnly="1" grandRow="1" outline="0" fieldPosition="0"/>
    </format>
    <format dxfId="0">
      <pivotArea dataOnly="0" labelOnly="1" outline="0" axis="axisValues" fieldPosition="0"/>
    </format>
  </formats>
  <chartFormats count="9">
    <chartFormat chart="31"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2" format="1">
      <pivotArea type="data" outline="0" fieldPosition="0">
        <references count="2">
          <reference field="4294967294" count="1" selected="0">
            <x v="0"/>
          </reference>
          <reference field="10" count="1" selected="0">
            <x v="4"/>
          </reference>
        </references>
      </pivotArea>
    </chartFormat>
    <chartFormat chart="72" format="2">
      <pivotArea type="data" outline="0" fieldPosition="0">
        <references count="2">
          <reference field="4294967294" count="1" selected="0">
            <x v="0"/>
          </reference>
          <reference field="10" count="1" selected="0">
            <x v="5"/>
          </reference>
        </references>
      </pivotArea>
    </chartFormat>
    <chartFormat chart="72" format="3">
      <pivotArea type="data" outline="0" fieldPosition="0">
        <references count="2">
          <reference field="4294967294" count="1" selected="0">
            <x v="0"/>
          </reference>
          <reference field="10" count="1" selected="0">
            <x v="0"/>
          </reference>
        </references>
      </pivotArea>
    </chartFormat>
    <chartFormat chart="72" format="4">
      <pivotArea type="data" outline="0" fieldPosition="0">
        <references count="2">
          <reference field="4294967294" count="1" selected="0">
            <x v="0"/>
          </reference>
          <reference field="10" count="1" selected="0">
            <x v="2"/>
          </reference>
        </references>
      </pivotArea>
    </chartFormat>
    <chartFormat chart="72" format="5">
      <pivotArea type="data" outline="0" fieldPosition="0">
        <references count="2">
          <reference field="4294967294" count="1" selected="0">
            <x v="0"/>
          </reference>
          <reference field="10" count="1" selected="0">
            <x v="1"/>
          </reference>
        </references>
      </pivotArea>
    </chartFormat>
    <chartFormat chart="72" format="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7A9EC7-607E-447F-A0B0-B69656B079F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 Name">
  <location ref="F15:G21" firstHeaderRow="1" firstDataRow="1" firstDataCol="1"/>
  <pivotFields count="11">
    <pivotField showAll="0"/>
    <pivotField showAll="0"/>
    <pivotField showAll="0"/>
    <pivotField showAll="0"/>
    <pivotField showAll="0"/>
    <pivotField showAll="0"/>
    <pivotField showAll="0"/>
    <pivotField axis="axisRow" showAll="0" measureFilter="1">
      <items count="15">
        <item x="11"/>
        <item x="1"/>
        <item x="7"/>
        <item x="5"/>
        <item x="12"/>
        <item x="2"/>
        <item x="0"/>
        <item x="10"/>
        <item x="13"/>
        <item x="6"/>
        <item x="9"/>
        <item x="3"/>
        <item x="4"/>
        <item x="8"/>
        <item t="default"/>
      </items>
    </pivotField>
    <pivotField dataField="1" showAll="0"/>
    <pivotField showAll="0"/>
    <pivotField showAll="0"/>
  </pivotFields>
  <rowFields count="1">
    <field x="7"/>
  </rowFields>
  <rowItems count="6">
    <i>
      <x v="1"/>
    </i>
    <i>
      <x v="3"/>
    </i>
    <i>
      <x v="7"/>
    </i>
    <i>
      <x v="9"/>
    </i>
    <i>
      <x v="12"/>
    </i>
    <i t="grand">
      <x/>
    </i>
  </rowItems>
  <colItems count="1">
    <i/>
  </colItems>
  <dataFields count="1">
    <dataField name=" Sales Amount" fld="8" baseField="7" baseItem="0"/>
  </dataFields>
  <formats count="30">
    <format dxfId="64">
      <pivotArea type="all" dataOnly="0" outline="0" fieldPosition="0"/>
    </format>
    <format dxfId="63">
      <pivotArea outline="0" collapsedLevelsAreSubtotals="1" fieldPosition="0"/>
    </format>
    <format dxfId="62">
      <pivotArea field="7" type="button" dataOnly="0" labelOnly="1" outline="0" axis="axisRow" fieldPosition="0"/>
    </format>
    <format dxfId="61">
      <pivotArea dataOnly="0" labelOnly="1" fieldPosition="0">
        <references count="1">
          <reference field="7" count="0"/>
        </references>
      </pivotArea>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7" type="button" dataOnly="0" labelOnly="1" outline="0" axis="axisRow" fieldPosition="0"/>
    </format>
    <format dxfId="55">
      <pivotArea dataOnly="0" labelOnly="1" fieldPosition="0">
        <references count="1">
          <reference field="7"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7" type="button" dataOnly="0" labelOnly="1" outline="0" axis="axisRow" fieldPosition="0"/>
    </format>
    <format dxfId="49">
      <pivotArea dataOnly="0" labelOnly="1" fieldPosition="0">
        <references count="1">
          <reference field="7"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7" type="button" dataOnly="0" labelOnly="1" outline="0" axis="axisRow" fieldPosition="0"/>
    </format>
    <format dxfId="43">
      <pivotArea dataOnly="0" labelOnly="1" fieldPosition="0">
        <references count="1">
          <reference field="7" count="0"/>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7" type="button" dataOnly="0" labelOnly="1" outline="0" axis="axisRow" fieldPosition="0"/>
    </format>
    <format dxfId="37">
      <pivotArea dataOnly="0" labelOnly="1" fieldPosition="0">
        <references count="1">
          <reference field="7" count="0"/>
        </references>
      </pivotArea>
    </format>
    <format dxfId="36">
      <pivotArea dataOnly="0" labelOnly="1" grandRow="1" outline="0" fieldPosition="0"/>
    </format>
    <format dxfId="35">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4"/>
          </reference>
        </references>
      </pivotArea>
    </chartFormat>
    <chartFormat chart="0" format="5">
      <pivotArea type="data" outline="0" fieldPosition="0">
        <references count="2">
          <reference field="4294967294" count="1" selected="0">
            <x v="0"/>
          </reference>
          <reference field="7" count="1" selected="0">
            <x v="5"/>
          </reference>
        </references>
      </pivotArea>
    </chartFormat>
    <chartFormat chart="0" format="6">
      <pivotArea type="data" outline="0" fieldPosition="0">
        <references count="2">
          <reference field="4294967294" count="1" selected="0">
            <x v="0"/>
          </reference>
          <reference field="7" count="1" selected="0">
            <x v="7"/>
          </reference>
        </references>
      </pivotArea>
    </chartFormat>
    <chartFormat chart="0" format="7">
      <pivotArea type="data" outline="0" fieldPosition="0">
        <references count="2">
          <reference field="4294967294" count="1" selected="0">
            <x v="0"/>
          </reference>
          <reference field="7" count="1" selected="0">
            <x v="9"/>
          </reference>
        </references>
      </pivotArea>
    </chartFormat>
    <chartFormat chart="0" format="8">
      <pivotArea type="data" outline="0" fieldPosition="0">
        <references count="2">
          <reference field="4294967294" count="1" selected="0">
            <x v="0"/>
          </reference>
          <reference field="7" count="1" selected="0">
            <x v="11"/>
          </reference>
        </references>
      </pivotArea>
    </chartFormat>
    <chartFormat chart="0" format="9">
      <pivotArea type="data" outline="0" fieldPosition="0">
        <references count="2">
          <reference field="4294967294" count="1" selected="0">
            <x v="0"/>
          </reference>
          <reference field="7" count="1" selected="0">
            <x v="12"/>
          </reference>
        </references>
      </pivotArea>
    </chartFormat>
    <chartFormat chart="0" format="10">
      <pivotArea type="data" outline="0" fieldPosition="0">
        <references count="2">
          <reference field="4294967294" count="1" selected="0">
            <x v="0"/>
          </reference>
          <reference field="7" count="1" selected="0">
            <x v="13"/>
          </reference>
        </references>
      </pivotArea>
    </chartFormat>
    <chartFormat chart="8"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7" count="1" selected="0">
            <x v="2"/>
          </reference>
        </references>
      </pivotArea>
    </chartFormat>
    <chartFormat chart="0" format="12">
      <pivotArea type="data" outline="0" fieldPosition="0">
        <references count="2">
          <reference field="4294967294" count="1" selected="0">
            <x v="0"/>
          </reference>
          <reference field="7" count="1" selected="0">
            <x v="6"/>
          </reference>
        </references>
      </pivotArea>
    </chartFormat>
    <chartFormat chart="0" format="13">
      <pivotArea type="data" outline="0" fieldPosition="0">
        <references count="2">
          <reference field="4294967294" count="1" selected="0">
            <x v="0"/>
          </reference>
          <reference field="7" count="1" selected="0">
            <x v="8"/>
          </reference>
        </references>
      </pivotArea>
    </chartFormat>
    <chartFormat chart="0" format="14">
      <pivotArea type="data" outline="0" fieldPosition="0">
        <references count="2">
          <reference field="4294967294" count="1" selected="0">
            <x v="0"/>
          </reference>
          <reference field="7" count="1" selected="0">
            <x v="10"/>
          </reference>
        </references>
      </pivotArea>
    </chartFormat>
  </chartFormats>
  <pivotTableStyleInfo name="PivotStyleLight16" showRowHeaders="1" showColHeaders="1" showRowStripes="0" showColStripes="0" showLastColumn="1"/>
  <filters count="1">
    <filter fld="7"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7CD8F9-13BC-4861-9D6D-2884318245E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5" firstHeaderRow="1" firstDataRow="1" firstDataCol="1" rowPageCount="1" colPageCount="1"/>
  <pivotFields count="6">
    <pivotField axis="axisPage" multipleItemSelectionAllowed="1" showAll="0">
      <items count="4">
        <item x="2"/>
        <item h="1" x="1"/>
        <item h="1" x="0"/>
        <item t="default"/>
      </items>
    </pivotField>
    <pivotField axis="axisRow" showAll="0">
      <items count="12">
        <item x="8"/>
        <item x="5"/>
        <item x="4"/>
        <item x="9"/>
        <item x="6"/>
        <item x="10"/>
        <item x="3"/>
        <item x="1"/>
        <item x="7"/>
        <item x="2"/>
        <item x="0"/>
        <item t="default"/>
      </items>
    </pivotField>
    <pivotField showAll="0"/>
    <pivotField showAll="0">
      <items count="5">
        <item h="1" x="0"/>
        <item h="1" x="1"/>
        <item h="1" x="3"/>
        <item x="2"/>
        <item t="default"/>
      </items>
    </pivotField>
    <pivotField dataField="1" showAll="0"/>
    <pivotField showAll="0"/>
  </pivotFields>
  <rowFields count="1">
    <field x="1"/>
  </rowFields>
  <rowItems count="6">
    <i>
      <x/>
    </i>
    <i>
      <x v="1"/>
    </i>
    <i>
      <x v="3"/>
    </i>
    <i>
      <x v="7"/>
    </i>
    <i>
      <x v="8"/>
    </i>
    <i t="grand">
      <x/>
    </i>
  </rowItems>
  <colItems count="1">
    <i/>
  </colItems>
  <pageFields count="1">
    <pageField fld="0" hier="-1"/>
  </pageFields>
  <dataFields count="1">
    <dataField name="Sum of Influx of New Clie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AC3D34-7C3F-4902-BF22-4A5C13DDFDD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rowPageCount="1" colPageCount="1"/>
  <pivotFields count="6">
    <pivotField axis="axisPage" multipleItemSelectionAllowed="1" showAll="0">
      <items count="4">
        <item x="2"/>
        <item x="1"/>
        <item x="0"/>
        <item t="default"/>
      </items>
    </pivotField>
    <pivotField axis="axisRow" showAll="0">
      <items count="12">
        <item x="8"/>
        <item x="5"/>
        <item x="4"/>
        <item x="9"/>
        <item x="6"/>
        <item x="10"/>
        <item x="3"/>
        <item x="1"/>
        <item x="7"/>
        <item x="2"/>
        <item x="0"/>
        <item t="default"/>
      </items>
    </pivotField>
    <pivotField showAll="0">
      <items count="12">
        <item h="1" x="8"/>
        <item h="1" x="5"/>
        <item x="4"/>
        <item h="1" x="9"/>
        <item h="1" x="6"/>
        <item h="1" x="10"/>
        <item h="1" x="3"/>
        <item h="1" x="1"/>
        <item h="1" x="7"/>
        <item h="1" x="2"/>
        <item h="1" x="0"/>
        <item t="default"/>
      </items>
    </pivotField>
    <pivotField showAll="0"/>
    <pivotField dataField="1" showAll="0"/>
    <pivotField showAll="0"/>
  </pivotFields>
  <rowFields count="1">
    <field x="1"/>
  </rowFields>
  <rowItems count="2">
    <i>
      <x v="2"/>
    </i>
    <i t="grand">
      <x/>
    </i>
  </rowItems>
  <colItems count="1">
    <i/>
  </colItems>
  <pageFields count="1">
    <pageField fld="0" hier="-1"/>
  </pageFields>
  <dataFields count="1">
    <dataField name="Sum of Influx of New Clie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31F90D-DB5A-4C27-BA80-9868C9C38AE6}" sourceName="Region">
  <pivotTables>
    <pivotTable tabId="2" name="PivotTable1"/>
  </pivotTables>
  <data>
    <tabular pivotCacheId="1906986061">
      <items count="4">
        <i x="0" s="1"/>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Month" xr10:uid="{8A0FD96B-C91B-4CFC-B23D-23DA5F4579ED}" sourceName="Name of Month">
  <pivotTables>
    <pivotTable tabId="4" name="PivotTable1"/>
  </pivotTables>
  <data>
    <tabular pivotCacheId="157688534">
      <items count="11">
        <i x="8"/>
        <i x="5"/>
        <i x="4" s="1"/>
        <i x="9"/>
        <i x="6"/>
        <i x="10"/>
        <i x="3"/>
        <i x="1"/>
        <i x="7"/>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4049AED-14C9-42EC-9427-A05B94163C6B}" sourceName="Year">
  <pivotTables>
    <pivotTable tabId="4" name="PivotTable3"/>
  </pivotTables>
  <data>
    <tabular pivotCacheId="157688534">
      <items count="3">
        <i x="2" s="1"/>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43BDF0-6481-439D-A245-5F6E834E5D23}" sourceName="Department">
  <pivotTables>
    <pivotTable tabId="4" name="PivotTable3"/>
  </pivotTables>
  <data>
    <tabular pivotCacheId="157688534">
      <items count="4">
        <i x="0"/>
        <i x="1"/>
        <i x="3"/>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A8799DC-F7D0-4861-860C-916DBEF0B277}" sourceName="Product Name">
  <pivotTables>
    <pivotTable tabId="2" name="PivotTable2"/>
  </pivotTables>
  <data>
    <tabular pivotCacheId="1906986061">
      <items count="14">
        <i x="11" s="1"/>
        <i x="1" s="1"/>
        <i x="7" s="1"/>
        <i x="5" s="1"/>
        <i x="12" s="1"/>
        <i x="2" s="1"/>
        <i x="0" s="1"/>
        <i x="10" s="1"/>
        <i x="13" s="1"/>
        <i x="6" s="1"/>
        <i x="9" s="1"/>
        <i x="3" s="1"/>
        <i x="4"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D838DA0-C106-41C0-8DB8-C133253E906E}" cache="Slicer_Region" caption="Region" columnCount="4" showCaption="0" style="Slicer Style 1" rowHeight="241300"/>
  <slicer name="Product Name" xr10:uid="{C3DB9C45-6164-4C47-96A9-B73BFAE4CCCD}" cache="Slicer_Product_Name" caption="Product Name" columnCount="14"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of Month" xr10:uid="{402B6E5C-FF52-4B02-8E5D-5B6A7B63A88D}" cache="Slicer_Name_of_Month" caption="Name of Month" columnCount="11" showCaption="0" style="Slicer Style 1" rowHeight="216000"/>
  <slicer name="Year" xr10:uid="{F229CD19-4E9E-46B7-AD3B-F1DB31B7EEEB}" cache="Slicer_Year" caption="Year" columnCount="3" showCaption="0" style="Slicer Style 1" rowHeight="241300"/>
  <slicer name="Department" xr10:uid="{BB4968F2-9C7F-4C6E-9894-67BA49F3C503}" cache="Slicer_Department" caption="Department" showCaption="0"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9E0F-484B-45CC-AAB8-3D64C3F469DC}">
  <sheetPr codeName="Sheet1"/>
  <dimension ref="B5:H73"/>
  <sheetViews>
    <sheetView zoomScale="86" zoomScaleNormal="86" workbookViewId="0">
      <selection activeCell="E30" sqref="E30"/>
    </sheetView>
  </sheetViews>
  <sheetFormatPr defaultRowHeight="15" x14ac:dyDescent="0.25"/>
  <cols>
    <col min="1" max="1" width="13.140625" bestFit="1" customWidth="1"/>
    <col min="2" max="2" width="20" bestFit="1" customWidth="1"/>
    <col min="4" max="4" width="15.140625" bestFit="1" customWidth="1"/>
    <col min="5" max="5" width="14.140625" bestFit="1" customWidth="1"/>
    <col min="6" max="6" width="16.85546875" style="3" bestFit="1" customWidth="1"/>
    <col min="7" max="7" width="14.140625" bestFit="1" customWidth="1"/>
    <col min="8" max="8" width="13.140625" bestFit="1" customWidth="1"/>
    <col min="9" max="9" width="20" bestFit="1" customWidth="1"/>
    <col min="10" max="22" width="5" bestFit="1" customWidth="1"/>
    <col min="23" max="23" width="6.28515625" bestFit="1" customWidth="1"/>
    <col min="24" max="30" width="5" bestFit="1" customWidth="1"/>
    <col min="31" max="56" width="6" bestFit="1" customWidth="1"/>
    <col min="57" max="57" width="11.28515625" bestFit="1" customWidth="1"/>
  </cols>
  <sheetData>
    <row r="5" spans="2:8" x14ac:dyDescent="0.25">
      <c r="E5" s="3"/>
    </row>
    <row r="6" spans="2:8" x14ac:dyDescent="0.25">
      <c r="B6" s="7">
        <v>10</v>
      </c>
    </row>
    <row r="12" spans="2:8" x14ac:dyDescent="0.25">
      <c r="D12" s="14"/>
      <c r="E12" s="14"/>
      <c r="F12" s="14"/>
      <c r="G12" s="14"/>
      <c r="H12" s="14"/>
    </row>
    <row r="13" spans="2:8" x14ac:dyDescent="0.25">
      <c r="D13" s="14"/>
      <c r="E13" s="14"/>
      <c r="F13" s="14"/>
      <c r="G13" s="14"/>
      <c r="H13" s="14"/>
    </row>
    <row r="14" spans="2:8" x14ac:dyDescent="0.25">
      <c r="D14" s="14"/>
      <c r="E14" s="14"/>
      <c r="F14" s="14"/>
      <c r="G14" s="14"/>
      <c r="H14" s="14"/>
    </row>
    <row r="15" spans="2:8" x14ac:dyDescent="0.25">
      <c r="D15" s="9" t="s">
        <v>123</v>
      </c>
      <c r="E15" s="9" t="s">
        <v>124</v>
      </c>
      <c r="F15" s="9" t="s">
        <v>7</v>
      </c>
      <c r="G15" s="9" t="s">
        <v>124</v>
      </c>
      <c r="H15" s="8"/>
    </row>
    <row r="16" spans="2:8" x14ac:dyDescent="0.25">
      <c r="D16" s="10" t="s">
        <v>35</v>
      </c>
      <c r="E16" s="13">
        <v>22369</v>
      </c>
      <c r="F16" s="11" t="s">
        <v>23</v>
      </c>
      <c r="G16" s="9">
        <v>151821</v>
      </c>
      <c r="H16" s="8"/>
    </row>
    <row r="17" spans="4:8" x14ac:dyDescent="0.25">
      <c r="D17" s="10" t="s">
        <v>29</v>
      </c>
      <c r="E17" s="13">
        <v>67894</v>
      </c>
      <c r="F17" s="11" t="s">
        <v>41</v>
      </c>
      <c r="G17" s="9">
        <v>105414</v>
      </c>
      <c r="H17" s="8"/>
    </row>
    <row r="18" spans="4:8" x14ac:dyDescent="0.25">
      <c r="D18" s="10" t="s">
        <v>17</v>
      </c>
      <c r="E18" s="13">
        <v>104358</v>
      </c>
      <c r="F18" s="11" t="s">
        <v>59</v>
      </c>
      <c r="G18" s="9">
        <v>73537</v>
      </c>
      <c r="H18" s="8"/>
    </row>
    <row r="19" spans="4:8" x14ac:dyDescent="0.25">
      <c r="D19" s="10" t="s">
        <v>42</v>
      </c>
      <c r="E19" s="13">
        <v>18008</v>
      </c>
      <c r="F19" s="11" t="s">
        <v>45</v>
      </c>
      <c r="G19" s="9">
        <v>76617</v>
      </c>
      <c r="H19" s="8"/>
    </row>
    <row r="20" spans="4:8" x14ac:dyDescent="0.25">
      <c r="D20" s="10" t="s">
        <v>122</v>
      </c>
      <c r="E20" s="13">
        <v>212629</v>
      </c>
      <c r="F20" s="11" t="s">
        <v>39</v>
      </c>
      <c r="G20" s="9">
        <v>70983</v>
      </c>
      <c r="H20" s="8"/>
    </row>
    <row r="21" spans="4:8" x14ac:dyDescent="0.25">
      <c r="F21" s="11" t="s">
        <v>122</v>
      </c>
      <c r="G21" s="9">
        <v>478372</v>
      </c>
      <c r="H21" s="8"/>
    </row>
    <row r="22" spans="4:8" x14ac:dyDescent="0.25">
      <c r="D22" s="9"/>
      <c r="E22" s="9"/>
      <c r="F22"/>
      <c r="H22" s="8"/>
    </row>
    <row r="23" spans="4:8" x14ac:dyDescent="0.25">
      <c r="D23" s="9"/>
      <c r="E23" s="9"/>
      <c r="F23"/>
      <c r="H23" s="8"/>
    </row>
    <row r="24" spans="4:8" x14ac:dyDescent="0.25">
      <c r="D24" s="9"/>
      <c r="E24" s="9"/>
      <c r="F24"/>
      <c r="H24" s="8"/>
    </row>
    <row r="25" spans="4:8" x14ac:dyDescent="0.25">
      <c r="D25" s="9"/>
      <c r="F25"/>
      <c r="H25" s="8"/>
    </row>
    <row r="26" spans="4:8" x14ac:dyDescent="0.25">
      <c r="D26" s="9"/>
      <c r="E26" s="9"/>
      <c r="F26"/>
      <c r="H26" s="8"/>
    </row>
    <row r="27" spans="4:8" x14ac:dyDescent="0.25">
      <c r="D27" s="9"/>
      <c r="E27" s="9"/>
      <c r="F27"/>
      <c r="H27" s="8"/>
    </row>
    <row r="28" spans="4:8" x14ac:dyDescent="0.25">
      <c r="D28" s="9"/>
      <c r="E28" s="9"/>
      <c r="F28"/>
      <c r="H28" s="8"/>
    </row>
    <row r="29" spans="4:8" x14ac:dyDescent="0.25">
      <c r="D29" s="9"/>
      <c r="E29" s="9"/>
      <c r="F29"/>
      <c r="H29" s="8"/>
    </row>
    <row r="30" spans="4:8" x14ac:dyDescent="0.25">
      <c r="D30" s="9"/>
      <c r="E30" s="9"/>
      <c r="F30"/>
      <c r="H30" s="8"/>
    </row>
    <row r="31" spans="4:8" x14ac:dyDescent="0.25">
      <c r="D31" s="8"/>
      <c r="E31" s="8"/>
      <c r="F31" s="8"/>
      <c r="G31" s="8"/>
      <c r="H31" s="8"/>
    </row>
    <row r="32" spans="4:8" x14ac:dyDescent="0.25">
      <c r="D32" s="8"/>
      <c r="E32" s="8"/>
      <c r="F32" s="8"/>
      <c r="G32" s="8"/>
      <c r="H32" s="8"/>
    </row>
    <row r="33" spans="4:8" x14ac:dyDescent="0.25">
      <c r="D33" s="8"/>
      <c r="E33" s="8"/>
      <c r="F33" s="8"/>
      <c r="G33" s="8"/>
      <c r="H33" s="8"/>
    </row>
    <row r="34" spans="4:8" x14ac:dyDescent="0.25">
      <c r="D34" s="8"/>
      <c r="E34" s="8"/>
      <c r="F34" s="8"/>
      <c r="G34" s="8"/>
      <c r="H34" s="8"/>
    </row>
    <row r="35" spans="4:8" x14ac:dyDescent="0.25">
      <c r="D35" s="8"/>
      <c r="E35" s="8"/>
      <c r="F35" s="8"/>
      <c r="G35" s="8"/>
      <c r="H35" s="8"/>
    </row>
    <row r="36" spans="4:8" x14ac:dyDescent="0.25">
      <c r="F36"/>
    </row>
    <row r="37" spans="4:8" x14ac:dyDescent="0.25">
      <c r="F37"/>
    </row>
    <row r="38" spans="4:8" x14ac:dyDescent="0.25">
      <c r="F38"/>
    </row>
    <row r="39" spans="4:8" x14ac:dyDescent="0.25">
      <c r="F39"/>
    </row>
    <row r="40" spans="4:8" x14ac:dyDescent="0.25">
      <c r="F40"/>
    </row>
    <row r="41" spans="4:8" x14ac:dyDescent="0.25">
      <c r="F41"/>
    </row>
    <row r="42" spans="4:8" x14ac:dyDescent="0.25">
      <c r="F42"/>
    </row>
    <row r="43" spans="4:8" x14ac:dyDescent="0.25">
      <c r="F43"/>
    </row>
    <row r="44" spans="4:8" x14ac:dyDescent="0.25">
      <c r="F44"/>
    </row>
    <row r="45" spans="4:8" x14ac:dyDescent="0.25">
      <c r="F45"/>
    </row>
    <row r="46" spans="4:8" x14ac:dyDescent="0.25">
      <c r="F46"/>
    </row>
    <row r="47" spans="4:8" x14ac:dyDescent="0.25">
      <c r="F47"/>
    </row>
    <row r="48" spans="4:8" x14ac:dyDescent="0.25">
      <c r="F48"/>
    </row>
    <row r="49" spans="6:6" x14ac:dyDescent="0.25">
      <c r="F49"/>
    </row>
    <row r="50" spans="6:6" x14ac:dyDescent="0.25">
      <c r="F50"/>
    </row>
    <row r="51" spans="6:6" x14ac:dyDescent="0.25">
      <c r="F51"/>
    </row>
    <row r="52" spans="6:6" x14ac:dyDescent="0.25">
      <c r="F52"/>
    </row>
    <row r="53" spans="6:6" x14ac:dyDescent="0.25">
      <c r="F53"/>
    </row>
    <row r="54" spans="6:6" x14ac:dyDescent="0.25">
      <c r="F54"/>
    </row>
    <row r="55" spans="6:6" x14ac:dyDescent="0.25">
      <c r="F55"/>
    </row>
    <row r="56" spans="6:6" x14ac:dyDescent="0.25">
      <c r="F56"/>
    </row>
    <row r="57" spans="6:6" x14ac:dyDescent="0.25">
      <c r="F57"/>
    </row>
    <row r="58" spans="6:6" x14ac:dyDescent="0.25">
      <c r="F58"/>
    </row>
    <row r="59" spans="6:6" x14ac:dyDescent="0.25">
      <c r="F59"/>
    </row>
    <row r="60" spans="6:6" x14ac:dyDescent="0.25">
      <c r="F60"/>
    </row>
    <row r="61" spans="6:6" x14ac:dyDescent="0.25">
      <c r="F61"/>
    </row>
    <row r="62" spans="6:6" x14ac:dyDescent="0.25">
      <c r="F62"/>
    </row>
    <row r="63" spans="6:6" x14ac:dyDescent="0.25">
      <c r="F63"/>
    </row>
    <row r="64" spans="6:6" x14ac:dyDescent="0.25">
      <c r="F64"/>
    </row>
    <row r="65" spans="6:6" x14ac:dyDescent="0.25">
      <c r="F65"/>
    </row>
    <row r="66" spans="6:6" x14ac:dyDescent="0.25">
      <c r="F66"/>
    </row>
    <row r="67" spans="6:6" x14ac:dyDescent="0.25">
      <c r="F67"/>
    </row>
    <row r="68" spans="6:6" x14ac:dyDescent="0.25">
      <c r="F68"/>
    </row>
    <row r="69" spans="6:6" x14ac:dyDescent="0.25">
      <c r="F69"/>
    </row>
    <row r="70" spans="6:6" x14ac:dyDescent="0.25">
      <c r="F70"/>
    </row>
    <row r="71" spans="6:6" x14ac:dyDescent="0.25">
      <c r="F71"/>
    </row>
    <row r="72" spans="6:6" x14ac:dyDescent="0.25">
      <c r="F72"/>
    </row>
    <row r="73" spans="6:6" x14ac:dyDescent="0.25">
      <c r="F73"/>
    </row>
  </sheetData>
  <mergeCells count="1">
    <mergeCell ref="D12:H14"/>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9ACB-01B5-473A-BF19-2B473F2528C3}">
  <sheetPr codeName="Sheet2"/>
  <dimension ref="A1:G51"/>
  <sheetViews>
    <sheetView workbookViewId="0">
      <selection activeCell="J7" sqref="J7"/>
    </sheetView>
  </sheetViews>
  <sheetFormatPr defaultRowHeight="15" x14ac:dyDescent="0.25"/>
  <cols>
    <col min="1" max="1" width="5" bestFit="1" customWidth="1"/>
    <col min="5" max="5" width="19" bestFit="1" customWidth="1"/>
    <col min="6" max="6" width="15.42578125" bestFit="1" customWidth="1"/>
  </cols>
  <sheetData>
    <row r="1" spans="1:7" x14ac:dyDescent="0.25">
      <c r="A1" s="12" t="s">
        <v>125</v>
      </c>
      <c r="B1" s="12" t="s">
        <v>2</v>
      </c>
      <c r="C1" s="12" t="s">
        <v>126</v>
      </c>
      <c r="D1" s="12" t="s">
        <v>127</v>
      </c>
      <c r="E1" s="12" t="s">
        <v>128</v>
      </c>
      <c r="F1" s="12" t="s">
        <v>129</v>
      </c>
      <c r="G1" s="12"/>
    </row>
    <row r="2" spans="1:7" x14ac:dyDescent="0.25">
      <c r="A2" s="3">
        <v>2025</v>
      </c>
      <c r="B2" s="3">
        <v>12</v>
      </c>
      <c r="C2" s="3" t="s">
        <v>130</v>
      </c>
      <c r="D2" s="3" t="s">
        <v>131</v>
      </c>
      <c r="E2" s="3">
        <v>142</v>
      </c>
      <c r="F2" s="3" t="s">
        <v>132</v>
      </c>
    </row>
    <row r="3" spans="1:7" x14ac:dyDescent="0.25">
      <c r="A3" s="3">
        <v>2025</v>
      </c>
      <c r="B3" s="3">
        <v>9</v>
      </c>
      <c r="C3" s="3" t="s">
        <v>58</v>
      </c>
      <c r="D3" s="3" t="s">
        <v>133</v>
      </c>
      <c r="E3" s="3">
        <v>52</v>
      </c>
      <c r="F3" s="3" t="s">
        <v>132</v>
      </c>
    </row>
    <row r="4" spans="1:7" x14ac:dyDescent="0.25">
      <c r="A4" s="3">
        <v>2024</v>
      </c>
      <c r="B4" s="3">
        <v>11</v>
      </c>
      <c r="C4" s="3" t="s">
        <v>134</v>
      </c>
      <c r="D4" s="3" t="s">
        <v>131</v>
      </c>
      <c r="E4" s="3">
        <v>96</v>
      </c>
      <c r="F4" s="3" t="s">
        <v>132</v>
      </c>
    </row>
    <row r="5" spans="1:7" x14ac:dyDescent="0.25">
      <c r="A5" s="3">
        <v>2025</v>
      </c>
      <c r="B5" s="3">
        <v>12</v>
      </c>
      <c r="C5" s="3" t="s">
        <v>130</v>
      </c>
      <c r="D5" s="3" t="s">
        <v>133</v>
      </c>
      <c r="E5" s="3">
        <v>56</v>
      </c>
      <c r="F5" s="3" t="s">
        <v>132</v>
      </c>
    </row>
    <row r="6" spans="1:7" x14ac:dyDescent="0.25">
      <c r="A6" s="3">
        <v>2024</v>
      </c>
      <c r="B6" s="3">
        <v>8</v>
      </c>
      <c r="C6" s="3" t="s">
        <v>19</v>
      </c>
      <c r="D6" s="3" t="s">
        <v>133</v>
      </c>
      <c r="E6" s="3">
        <v>86</v>
      </c>
      <c r="F6" s="3" t="s">
        <v>132</v>
      </c>
    </row>
    <row r="7" spans="1:7" x14ac:dyDescent="0.25">
      <c r="A7" s="3">
        <v>2023</v>
      </c>
      <c r="B7" s="3">
        <v>12</v>
      </c>
      <c r="C7" s="3" t="s">
        <v>130</v>
      </c>
      <c r="D7" s="3" t="s">
        <v>131</v>
      </c>
      <c r="E7" s="3">
        <v>64</v>
      </c>
      <c r="F7" s="3" t="s">
        <v>132</v>
      </c>
    </row>
    <row r="8" spans="1:7" x14ac:dyDescent="0.25">
      <c r="A8" s="3">
        <v>2024</v>
      </c>
      <c r="B8" s="3">
        <v>11</v>
      </c>
      <c r="C8" s="3" t="s">
        <v>134</v>
      </c>
      <c r="D8" s="3" t="s">
        <v>131</v>
      </c>
      <c r="E8" s="3">
        <v>52</v>
      </c>
      <c r="F8" s="3" t="s">
        <v>132</v>
      </c>
    </row>
    <row r="9" spans="1:7" x14ac:dyDescent="0.25">
      <c r="A9" s="3">
        <v>2024</v>
      </c>
      <c r="B9" s="3">
        <v>3</v>
      </c>
      <c r="C9" s="3" t="s">
        <v>73</v>
      </c>
      <c r="D9" s="3" t="s">
        <v>135</v>
      </c>
      <c r="E9" s="3">
        <v>20</v>
      </c>
      <c r="F9" s="3" t="s">
        <v>136</v>
      </c>
    </row>
    <row r="10" spans="1:7" x14ac:dyDescent="0.25">
      <c r="A10" s="3">
        <v>2024</v>
      </c>
      <c r="B10" s="3">
        <v>2</v>
      </c>
      <c r="C10" s="3" t="s">
        <v>84</v>
      </c>
      <c r="D10" s="3" t="s">
        <v>135</v>
      </c>
      <c r="E10" s="3">
        <v>105</v>
      </c>
      <c r="F10" s="3" t="s">
        <v>132</v>
      </c>
    </row>
    <row r="11" spans="1:7" x14ac:dyDescent="0.25">
      <c r="A11" s="3">
        <v>2023</v>
      </c>
      <c r="B11" s="3">
        <v>5</v>
      </c>
      <c r="C11" s="3" t="s">
        <v>48</v>
      </c>
      <c r="D11" s="3" t="s">
        <v>131</v>
      </c>
      <c r="E11" s="3">
        <v>53</v>
      </c>
      <c r="F11" s="3" t="s">
        <v>132</v>
      </c>
    </row>
    <row r="12" spans="1:7" x14ac:dyDescent="0.25">
      <c r="A12" s="3">
        <v>2025</v>
      </c>
      <c r="B12" s="3">
        <v>5</v>
      </c>
      <c r="C12" s="3" t="s">
        <v>48</v>
      </c>
      <c r="D12" s="3" t="s">
        <v>131</v>
      </c>
      <c r="E12" s="3">
        <v>20</v>
      </c>
      <c r="F12" s="3" t="s">
        <v>132</v>
      </c>
    </row>
    <row r="13" spans="1:7" x14ac:dyDescent="0.25">
      <c r="A13" s="3">
        <v>2023</v>
      </c>
      <c r="B13" s="3">
        <v>10</v>
      </c>
      <c r="C13" s="3" t="s">
        <v>26</v>
      </c>
      <c r="D13" s="3" t="s">
        <v>135</v>
      </c>
      <c r="E13" s="3">
        <v>195</v>
      </c>
      <c r="F13" s="3" t="s">
        <v>132</v>
      </c>
    </row>
    <row r="14" spans="1:7" x14ac:dyDescent="0.25">
      <c r="A14" s="3">
        <v>2025</v>
      </c>
      <c r="B14" s="3">
        <v>1</v>
      </c>
      <c r="C14" s="3" t="s">
        <v>12</v>
      </c>
      <c r="D14" s="3" t="s">
        <v>137</v>
      </c>
      <c r="E14" s="3">
        <v>48</v>
      </c>
      <c r="F14" s="3" t="s">
        <v>132</v>
      </c>
    </row>
    <row r="15" spans="1:7" x14ac:dyDescent="0.25">
      <c r="A15" s="3">
        <v>2023</v>
      </c>
      <c r="B15" s="3">
        <v>9</v>
      </c>
      <c r="C15" s="3" t="s">
        <v>58</v>
      </c>
      <c r="D15" s="3" t="s">
        <v>135</v>
      </c>
      <c r="E15" s="3">
        <v>176</v>
      </c>
      <c r="F15" s="3" t="s">
        <v>136</v>
      </c>
    </row>
    <row r="16" spans="1:7" x14ac:dyDescent="0.25">
      <c r="A16" s="3">
        <v>2023</v>
      </c>
      <c r="B16" s="3">
        <v>3</v>
      </c>
      <c r="C16" s="3" t="s">
        <v>73</v>
      </c>
      <c r="D16" s="3" t="s">
        <v>133</v>
      </c>
      <c r="E16" s="3">
        <v>112</v>
      </c>
      <c r="F16" s="3" t="s">
        <v>136</v>
      </c>
    </row>
    <row r="17" spans="1:6" x14ac:dyDescent="0.25">
      <c r="A17" s="3">
        <v>2023</v>
      </c>
      <c r="B17" s="3">
        <v>4</v>
      </c>
      <c r="C17" s="3" t="s">
        <v>31</v>
      </c>
      <c r="D17" s="3" t="s">
        <v>135</v>
      </c>
      <c r="E17" s="3">
        <v>97</v>
      </c>
      <c r="F17" s="3" t="s">
        <v>136</v>
      </c>
    </row>
    <row r="18" spans="1:6" x14ac:dyDescent="0.25">
      <c r="A18" s="3">
        <v>2024</v>
      </c>
      <c r="B18" s="3">
        <v>3</v>
      </c>
      <c r="C18" s="3" t="s">
        <v>73</v>
      </c>
      <c r="D18" s="3" t="s">
        <v>135</v>
      </c>
      <c r="E18" s="3">
        <v>46</v>
      </c>
      <c r="F18" s="3" t="s">
        <v>132</v>
      </c>
    </row>
    <row r="19" spans="1:6" x14ac:dyDescent="0.25">
      <c r="A19" s="3">
        <v>2025</v>
      </c>
      <c r="B19" s="3">
        <v>12</v>
      </c>
      <c r="C19" s="3" t="s">
        <v>130</v>
      </c>
      <c r="D19" s="3" t="s">
        <v>133</v>
      </c>
      <c r="E19" s="3">
        <v>156</v>
      </c>
      <c r="F19" s="3" t="s">
        <v>132</v>
      </c>
    </row>
    <row r="20" spans="1:6" x14ac:dyDescent="0.25">
      <c r="A20" s="3">
        <v>2024</v>
      </c>
      <c r="B20" s="3">
        <v>3</v>
      </c>
      <c r="C20" s="3" t="s">
        <v>73</v>
      </c>
      <c r="D20" s="3" t="s">
        <v>137</v>
      </c>
      <c r="E20" s="3">
        <v>146</v>
      </c>
      <c r="F20" s="3" t="s">
        <v>132</v>
      </c>
    </row>
    <row r="21" spans="1:6" x14ac:dyDescent="0.25">
      <c r="A21" s="3">
        <v>2025</v>
      </c>
      <c r="B21" s="3">
        <v>11</v>
      </c>
      <c r="C21" s="3" t="s">
        <v>134</v>
      </c>
      <c r="D21" s="3" t="s">
        <v>133</v>
      </c>
      <c r="E21" s="3">
        <v>84</v>
      </c>
      <c r="F21" s="3" t="s">
        <v>136</v>
      </c>
    </row>
    <row r="22" spans="1:6" x14ac:dyDescent="0.25">
      <c r="A22" s="3">
        <v>2023</v>
      </c>
      <c r="B22" s="3">
        <v>12</v>
      </c>
      <c r="C22" s="3" t="s">
        <v>130</v>
      </c>
      <c r="D22" s="3" t="s">
        <v>137</v>
      </c>
      <c r="E22" s="3">
        <v>127</v>
      </c>
      <c r="F22" s="3" t="s">
        <v>136</v>
      </c>
    </row>
    <row r="23" spans="1:6" x14ac:dyDescent="0.25">
      <c r="A23" s="3">
        <v>2025</v>
      </c>
      <c r="B23" s="3">
        <v>3</v>
      </c>
      <c r="C23" s="3" t="s">
        <v>73</v>
      </c>
      <c r="D23" s="3" t="s">
        <v>131</v>
      </c>
      <c r="E23" s="3">
        <v>47</v>
      </c>
      <c r="F23" s="3" t="s">
        <v>132</v>
      </c>
    </row>
    <row r="24" spans="1:6" x14ac:dyDescent="0.25">
      <c r="A24" s="3">
        <v>2024</v>
      </c>
      <c r="B24" s="3">
        <v>1</v>
      </c>
      <c r="C24" s="3" t="s">
        <v>12</v>
      </c>
      <c r="D24" s="3" t="s">
        <v>133</v>
      </c>
      <c r="E24" s="3">
        <v>91</v>
      </c>
      <c r="F24" s="3" t="s">
        <v>132</v>
      </c>
    </row>
    <row r="25" spans="1:6" x14ac:dyDescent="0.25">
      <c r="A25" s="3">
        <v>2023</v>
      </c>
      <c r="B25" s="3">
        <v>1</v>
      </c>
      <c r="C25" s="3" t="s">
        <v>12</v>
      </c>
      <c r="D25" s="3" t="s">
        <v>131</v>
      </c>
      <c r="E25" s="3">
        <v>152</v>
      </c>
      <c r="F25" s="3" t="s">
        <v>136</v>
      </c>
    </row>
    <row r="26" spans="1:6" x14ac:dyDescent="0.25">
      <c r="A26" s="3">
        <v>2023</v>
      </c>
      <c r="B26" s="3">
        <v>5</v>
      </c>
      <c r="C26" s="3" t="s">
        <v>48</v>
      </c>
      <c r="D26" s="3" t="s">
        <v>133</v>
      </c>
      <c r="E26" s="3">
        <v>41</v>
      </c>
      <c r="F26" s="3" t="s">
        <v>132</v>
      </c>
    </row>
    <row r="27" spans="1:6" x14ac:dyDescent="0.25">
      <c r="A27" s="3">
        <v>2025</v>
      </c>
      <c r="B27" s="3">
        <v>1</v>
      </c>
      <c r="C27" s="3" t="s">
        <v>12</v>
      </c>
      <c r="D27" s="3" t="s">
        <v>135</v>
      </c>
      <c r="E27" s="3">
        <v>117</v>
      </c>
      <c r="F27" s="3" t="s">
        <v>132</v>
      </c>
    </row>
    <row r="28" spans="1:6" x14ac:dyDescent="0.25">
      <c r="A28" s="3">
        <v>2023</v>
      </c>
      <c r="B28" s="3">
        <v>7</v>
      </c>
      <c r="C28" s="3" t="s">
        <v>66</v>
      </c>
      <c r="D28" s="3" t="s">
        <v>137</v>
      </c>
      <c r="E28" s="3">
        <v>64</v>
      </c>
      <c r="F28" s="3" t="s">
        <v>136</v>
      </c>
    </row>
    <row r="29" spans="1:6" x14ac:dyDescent="0.25">
      <c r="A29" s="3">
        <v>2023</v>
      </c>
      <c r="B29" s="3">
        <v>3</v>
      </c>
      <c r="C29" s="3" t="s">
        <v>73</v>
      </c>
      <c r="D29" s="3" t="s">
        <v>131</v>
      </c>
      <c r="E29" s="3">
        <v>173</v>
      </c>
      <c r="F29" s="3" t="s">
        <v>136</v>
      </c>
    </row>
    <row r="30" spans="1:6" x14ac:dyDescent="0.25">
      <c r="A30" s="3">
        <v>2025</v>
      </c>
      <c r="B30" s="3">
        <v>8</v>
      </c>
      <c r="C30" s="3" t="s">
        <v>19</v>
      </c>
      <c r="D30" s="3" t="s">
        <v>137</v>
      </c>
      <c r="E30" s="3">
        <v>102</v>
      </c>
      <c r="F30" s="3" t="s">
        <v>136</v>
      </c>
    </row>
    <row r="31" spans="1:6" x14ac:dyDescent="0.25">
      <c r="A31" s="3">
        <v>2024</v>
      </c>
      <c r="B31" s="3">
        <v>10</v>
      </c>
      <c r="C31" s="3" t="s">
        <v>26</v>
      </c>
      <c r="D31" s="3" t="s">
        <v>137</v>
      </c>
      <c r="E31" s="3">
        <v>143</v>
      </c>
      <c r="F31" s="3" t="s">
        <v>132</v>
      </c>
    </row>
    <row r="32" spans="1:6" x14ac:dyDescent="0.25">
      <c r="A32" s="3">
        <v>2024</v>
      </c>
      <c r="B32" s="3">
        <v>5</v>
      </c>
      <c r="C32" s="3" t="s">
        <v>48</v>
      </c>
      <c r="D32" s="3" t="s">
        <v>133</v>
      </c>
      <c r="E32" s="3">
        <v>138</v>
      </c>
      <c r="F32" s="3" t="s">
        <v>132</v>
      </c>
    </row>
    <row r="33" spans="1:6" x14ac:dyDescent="0.25">
      <c r="A33" s="3">
        <v>2024</v>
      </c>
      <c r="B33" s="3">
        <v>2</v>
      </c>
      <c r="C33" s="3" t="s">
        <v>84</v>
      </c>
      <c r="D33" s="3" t="s">
        <v>137</v>
      </c>
      <c r="E33" s="3">
        <v>98</v>
      </c>
      <c r="F33" s="3" t="s">
        <v>136</v>
      </c>
    </row>
    <row r="34" spans="1:6" x14ac:dyDescent="0.25">
      <c r="A34" s="3">
        <v>2023</v>
      </c>
      <c r="B34" s="3">
        <v>2</v>
      </c>
      <c r="C34" s="3" t="s">
        <v>84</v>
      </c>
      <c r="D34" s="3" t="s">
        <v>131</v>
      </c>
      <c r="E34" s="3">
        <v>117</v>
      </c>
      <c r="F34" s="3" t="s">
        <v>132</v>
      </c>
    </row>
    <row r="35" spans="1:6" x14ac:dyDescent="0.25">
      <c r="A35" s="3">
        <v>2024</v>
      </c>
      <c r="B35" s="3">
        <v>7</v>
      </c>
      <c r="C35" s="3" t="s">
        <v>66</v>
      </c>
      <c r="D35" s="3" t="s">
        <v>133</v>
      </c>
      <c r="E35" s="3">
        <v>187</v>
      </c>
      <c r="F35" s="3" t="s">
        <v>132</v>
      </c>
    </row>
    <row r="36" spans="1:6" x14ac:dyDescent="0.25">
      <c r="A36" s="3">
        <v>2023</v>
      </c>
      <c r="B36" s="3">
        <v>8</v>
      </c>
      <c r="C36" s="3" t="s">
        <v>19</v>
      </c>
      <c r="D36" s="3" t="s">
        <v>131</v>
      </c>
      <c r="E36" s="3">
        <v>81</v>
      </c>
      <c r="F36" s="3" t="s">
        <v>132</v>
      </c>
    </row>
    <row r="37" spans="1:6" x14ac:dyDescent="0.25">
      <c r="A37" s="3">
        <v>2023</v>
      </c>
      <c r="B37" s="3">
        <v>7</v>
      </c>
      <c r="C37" s="3" t="s">
        <v>66</v>
      </c>
      <c r="D37" s="3" t="s">
        <v>131</v>
      </c>
      <c r="E37" s="3">
        <v>67</v>
      </c>
      <c r="F37" s="3" t="s">
        <v>132</v>
      </c>
    </row>
    <row r="38" spans="1:6" x14ac:dyDescent="0.25">
      <c r="A38" s="3">
        <v>2023</v>
      </c>
      <c r="B38" s="3">
        <v>12</v>
      </c>
      <c r="C38" s="3" t="s">
        <v>130</v>
      </c>
      <c r="D38" s="3" t="s">
        <v>137</v>
      </c>
      <c r="E38" s="3">
        <v>138</v>
      </c>
      <c r="F38" s="3" t="s">
        <v>132</v>
      </c>
    </row>
    <row r="39" spans="1:6" x14ac:dyDescent="0.25">
      <c r="A39" s="3">
        <v>2024</v>
      </c>
      <c r="B39" s="3">
        <v>3</v>
      </c>
      <c r="C39" s="3" t="s">
        <v>73</v>
      </c>
      <c r="D39" s="3" t="s">
        <v>135</v>
      </c>
      <c r="E39" s="3">
        <v>35</v>
      </c>
      <c r="F39" s="3" t="s">
        <v>132</v>
      </c>
    </row>
    <row r="40" spans="1:6" x14ac:dyDescent="0.25">
      <c r="A40" s="3">
        <v>2024</v>
      </c>
      <c r="B40" s="3">
        <v>11</v>
      </c>
      <c r="C40" s="3" t="s">
        <v>134</v>
      </c>
      <c r="D40" s="3" t="s">
        <v>135</v>
      </c>
      <c r="E40" s="3">
        <v>86</v>
      </c>
      <c r="F40" s="3" t="s">
        <v>132</v>
      </c>
    </row>
    <row r="41" spans="1:6" x14ac:dyDescent="0.25">
      <c r="A41" s="3">
        <v>2025</v>
      </c>
      <c r="B41" s="3">
        <v>2</v>
      </c>
      <c r="C41" s="3" t="s">
        <v>84</v>
      </c>
      <c r="D41" s="3" t="s">
        <v>131</v>
      </c>
      <c r="E41" s="3">
        <v>28</v>
      </c>
      <c r="F41" s="3" t="s">
        <v>136</v>
      </c>
    </row>
    <row r="42" spans="1:6" x14ac:dyDescent="0.25">
      <c r="A42" s="3">
        <v>2023</v>
      </c>
      <c r="B42" s="3">
        <v>9</v>
      </c>
      <c r="C42" s="3" t="s">
        <v>58</v>
      </c>
      <c r="D42" s="3" t="s">
        <v>137</v>
      </c>
      <c r="E42" s="3">
        <v>162</v>
      </c>
      <c r="F42" s="3" t="s">
        <v>136</v>
      </c>
    </row>
    <row r="43" spans="1:6" x14ac:dyDescent="0.25">
      <c r="A43" s="3">
        <v>2024</v>
      </c>
      <c r="B43" s="3">
        <v>5</v>
      </c>
      <c r="C43" s="3" t="s">
        <v>48</v>
      </c>
      <c r="D43" s="3" t="s">
        <v>133</v>
      </c>
      <c r="E43" s="3">
        <v>90</v>
      </c>
      <c r="F43" s="3" t="s">
        <v>136</v>
      </c>
    </row>
    <row r="44" spans="1:6" x14ac:dyDescent="0.25">
      <c r="A44" s="3">
        <v>2024</v>
      </c>
      <c r="B44" s="3">
        <v>1</v>
      </c>
      <c r="C44" s="3" t="s">
        <v>12</v>
      </c>
      <c r="D44" s="3" t="s">
        <v>135</v>
      </c>
      <c r="E44" s="3">
        <v>33</v>
      </c>
      <c r="F44" s="3" t="s">
        <v>136</v>
      </c>
    </row>
    <row r="45" spans="1:6" x14ac:dyDescent="0.25">
      <c r="A45" s="3">
        <v>2025</v>
      </c>
      <c r="B45" s="3">
        <v>3</v>
      </c>
      <c r="C45" s="3" t="s">
        <v>73</v>
      </c>
      <c r="D45" s="3" t="s">
        <v>137</v>
      </c>
      <c r="E45" s="3">
        <v>134</v>
      </c>
      <c r="F45" s="3" t="s">
        <v>132</v>
      </c>
    </row>
    <row r="46" spans="1:6" x14ac:dyDescent="0.25">
      <c r="A46" s="3">
        <v>2024</v>
      </c>
      <c r="B46" s="3">
        <v>10</v>
      </c>
      <c r="C46" s="3" t="s">
        <v>26</v>
      </c>
      <c r="D46" s="3" t="s">
        <v>135</v>
      </c>
      <c r="E46" s="3">
        <v>33</v>
      </c>
      <c r="F46" s="3" t="s">
        <v>132</v>
      </c>
    </row>
    <row r="47" spans="1:6" x14ac:dyDescent="0.25">
      <c r="A47" s="3">
        <v>2023</v>
      </c>
      <c r="B47" s="3">
        <v>1</v>
      </c>
      <c r="C47" s="3" t="s">
        <v>12</v>
      </c>
      <c r="D47" s="3" t="s">
        <v>135</v>
      </c>
      <c r="E47" s="3">
        <v>63</v>
      </c>
      <c r="F47" s="3" t="s">
        <v>136</v>
      </c>
    </row>
    <row r="48" spans="1:6" x14ac:dyDescent="0.25">
      <c r="A48" s="3">
        <v>2024</v>
      </c>
      <c r="B48" s="3">
        <v>3</v>
      </c>
      <c r="C48" s="3" t="s">
        <v>73</v>
      </c>
      <c r="D48" s="3" t="s">
        <v>131</v>
      </c>
      <c r="E48" s="3">
        <v>44</v>
      </c>
      <c r="F48" s="3" t="s">
        <v>132</v>
      </c>
    </row>
    <row r="49" spans="1:6" x14ac:dyDescent="0.25">
      <c r="A49" s="3">
        <v>2023</v>
      </c>
      <c r="B49" s="3">
        <v>2</v>
      </c>
      <c r="C49" s="3" t="s">
        <v>84</v>
      </c>
      <c r="D49" s="3" t="s">
        <v>135</v>
      </c>
      <c r="E49" s="3">
        <v>194</v>
      </c>
      <c r="F49" s="3" t="s">
        <v>132</v>
      </c>
    </row>
    <row r="50" spans="1:6" x14ac:dyDescent="0.25">
      <c r="A50" s="3">
        <v>2025</v>
      </c>
      <c r="B50" s="3">
        <v>11</v>
      </c>
      <c r="C50" s="3" t="s">
        <v>134</v>
      </c>
      <c r="D50" s="3" t="s">
        <v>135</v>
      </c>
      <c r="E50" s="3">
        <v>36</v>
      </c>
      <c r="F50" s="3" t="s">
        <v>136</v>
      </c>
    </row>
    <row r="51" spans="1:6" x14ac:dyDescent="0.25">
      <c r="A51" s="3">
        <v>2024</v>
      </c>
      <c r="B51" s="3">
        <v>3</v>
      </c>
      <c r="C51" s="3" t="s">
        <v>73</v>
      </c>
      <c r="D51" s="3" t="s">
        <v>137</v>
      </c>
      <c r="E51" s="3">
        <v>29</v>
      </c>
      <c r="F51" s="3"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CDAB-4B1E-4117-BFAE-BA20F7A83D77}">
  <sheetPr codeName="Sheet3"/>
  <dimension ref="A1:B25"/>
  <sheetViews>
    <sheetView workbookViewId="0">
      <selection activeCell="B21" sqref="B21"/>
    </sheetView>
  </sheetViews>
  <sheetFormatPr defaultRowHeight="15" x14ac:dyDescent="0.25"/>
  <cols>
    <col min="1" max="1" width="13.140625" bestFit="1" customWidth="1"/>
    <col min="2" max="2" width="25.85546875" bestFit="1" customWidth="1"/>
  </cols>
  <sheetData>
    <row r="1" spans="1:2" x14ac:dyDescent="0.25">
      <c r="A1" s="4" t="s">
        <v>125</v>
      </c>
      <c r="B1" t="s">
        <v>138</v>
      </c>
    </row>
    <row r="3" spans="1:2" x14ac:dyDescent="0.25">
      <c r="A3" s="4" t="s">
        <v>121</v>
      </c>
      <c r="B3" t="s">
        <v>139</v>
      </c>
    </row>
    <row r="4" spans="1:2" x14ac:dyDescent="0.25">
      <c r="A4" s="5">
        <v>3</v>
      </c>
      <c r="B4">
        <v>786</v>
      </c>
    </row>
    <row r="5" spans="1:2" x14ac:dyDescent="0.25">
      <c r="A5" s="5" t="s">
        <v>122</v>
      </c>
      <c r="B5">
        <v>786</v>
      </c>
    </row>
    <row r="16" spans="1:2" s="6" customFormat="1" x14ac:dyDescent="0.25"/>
    <row r="17" spans="1:2" x14ac:dyDescent="0.25">
      <c r="A17" s="4" t="s">
        <v>125</v>
      </c>
      <c r="B17" s="5">
        <v>2023</v>
      </c>
    </row>
    <row r="19" spans="1:2" x14ac:dyDescent="0.25">
      <c r="A19" s="4" t="s">
        <v>121</v>
      </c>
      <c r="B19" t="s">
        <v>139</v>
      </c>
    </row>
    <row r="20" spans="1:2" x14ac:dyDescent="0.25">
      <c r="A20" s="5">
        <v>1</v>
      </c>
      <c r="B20">
        <v>63</v>
      </c>
    </row>
    <row r="21" spans="1:2" x14ac:dyDescent="0.25">
      <c r="A21" s="5">
        <v>2</v>
      </c>
      <c r="B21">
        <v>194</v>
      </c>
    </row>
    <row r="22" spans="1:2" x14ac:dyDescent="0.25">
      <c r="A22" s="5">
        <v>4</v>
      </c>
      <c r="B22">
        <v>97</v>
      </c>
    </row>
    <row r="23" spans="1:2" x14ac:dyDescent="0.25">
      <c r="A23" s="5">
        <v>9</v>
      </c>
      <c r="B23">
        <v>176</v>
      </c>
    </row>
    <row r="24" spans="1:2" x14ac:dyDescent="0.25">
      <c r="A24" s="5">
        <v>10</v>
      </c>
      <c r="B24">
        <v>195</v>
      </c>
    </row>
    <row r="25" spans="1:2" x14ac:dyDescent="0.25">
      <c r="A25" s="5" t="s">
        <v>122</v>
      </c>
      <c r="B25">
        <v>725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E502-EDB1-40B6-BD86-4FAAB04C21C4}">
  <sheetPr codeName="Sheet4"/>
  <dimension ref="A1:E15"/>
  <sheetViews>
    <sheetView tabSelected="1" zoomScale="106" workbookViewId="0">
      <selection activeCell="K16" sqref="K16"/>
    </sheetView>
  </sheetViews>
  <sheetFormatPr defaultRowHeight="15" x14ac:dyDescent="0.25"/>
  <sheetData>
    <row r="1" spans="1:5" x14ac:dyDescent="0.25">
      <c r="A1" t="s">
        <v>128</v>
      </c>
    </row>
    <row r="2" spans="1:5" x14ac:dyDescent="0.25">
      <c r="A2" s="12"/>
      <c r="B2" s="12"/>
      <c r="C2" s="12" t="s">
        <v>140</v>
      </c>
      <c r="D2" s="12" t="s">
        <v>141</v>
      </c>
      <c r="E2" s="12" t="s">
        <v>142</v>
      </c>
    </row>
    <row r="3" spans="1:5" x14ac:dyDescent="0.25">
      <c r="A3">
        <v>1</v>
      </c>
      <c r="B3" t="s">
        <v>12</v>
      </c>
      <c r="D3">
        <f>IFERROR(GETPIVOTDATA("Influx of New Client",Control!$A$19,"Month",A3),NA())</f>
        <v>63</v>
      </c>
      <c r="E3">
        <f>IF(ISNA(D3),D3,C3)</f>
        <v>0</v>
      </c>
    </row>
    <row r="4" spans="1:5" x14ac:dyDescent="0.25">
      <c r="A4">
        <v>2</v>
      </c>
      <c r="B4" t="s">
        <v>84</v>
      </c>
      <c r="C4" t="e">
        <f>GETPIVOTDATA("Influx of New Client",Control!$A$3,"Month",A4)</f>
        <v>#REF!</v>
      </c>
      <c r="D4">
        <f>IFERROR(GETPIVOTDATA("Influx of New Client",Control!$A$19,"Month",A4),NA())</f>
        <v>194</v>
      </c>
      <c r="E4" t="e">
        <f t="shared" ref="E4:E14" si="0">IF(ISNA(D4),D4,C4)</f>
        <v>#REF!</v>
      </c>
    </row>
    <row r="5" spans="1:5" x14ac:dyDescent="0.25">
      <c r="A5">
        <v>3</v>
      </c>
      <c r="B5" t="s">
        <v>73</v>
      </c>
      <c r="C5">
        <f>GETPIVOTDATA("Influx of New Client",Control!$A$3,"Month",A5)</f>
        <v>786</v>
      </c>
      <c r="D5" t="e">
        <f>IFERROR(GETPIVOTDATA("Influx of New Client",Control!$A$19,"Month",A5),NA())</f>
        <v>#N/A</v>
      </c>
      <c r="E5" t="e">
        <f t="shared" si="0"/>
        <v>#N/A</v>
      </c>
    </row>
    <row r="6" spans="1:5" x14ac:dyDescent="0.25">
      <c r="A6">
        <v>4</v>
      </c>
      <c r="B6" t="s">
        <v>31</v>
      </c>
      <c r="C6" t="e">
        <f>GETPIVOTDATA("Influx of New Client",Control!$A$3,"Month",A6)</f>
        <v>#REF!</v>
      </c>
      <c r="D6">
        <f>IFERROR(GETPIVOTDATA("Influx of New Client",Control!$A$19,"Month",A6),NA())</f>
        <v>97</v>
      </c>
      <c r="E6" t="e">
        <f t="shared" si="0"/>
        <v>#REF!</v>
      </c>
    </row>
    <row r="7" spans="1:5" x14ac:dyDescent="0.25">
      <c r="A7">
        <v>5</v>
      </c>
      <c r="B7" t="s">
        <v>48</v>
      </c>
      <c r="C7" t="e">
        <f>GETPIVOTDATA("Influx of New Client",Control!$A$3,"Month",A7)</f>
        <v>#REF!</v>
      </c>
      <c r="D7" t="e">
        <f>IFERROR(GETPIVOTDATA("Influx of New Client",Control!$A$19,"Month",A7),NA())</f>
        <v>#N/A</v>
      </c>
      <c r="E7" t="e">
        <f t="shared" si="0"/>
        <v>#N/A</v>
      </c>
    </row>
    <row r="8" spans="1:5" x14ac:dyDescent="0.25">
      <c r="A8">
        <v>6</v>
      </c>
      <c r="B8" t="s">
        <v>44</v>
      </c>
      <c r="C8" t="e">
        <f>GETPIVOTDATA("Influx of New Client",Control!$A$3,"Month",A8)</f>
        <v>#REF!</v>
      </c>
      <c r="D8" t="e">
        <f>IFERROR(GETPIVOTDATA("Influx of New Client",Control!$A$19,"Month",A8),NA())</f>
        <v>#N/A</v>
      </c>
      <c r="E8" t="e">
        <f t="shared" si="0"/>
        <v>#N/A</v>
      </c>
    </row>
    <row r="9" spans="1:5" x14ac:dyDescent="0.25">
      <c r="A9">
        <v>7</v>
      </c>
      <c r="B9" t="s">
        <v>66</v>
      </c>
      <c r="C9" t="e">
        <f>GETPIVOTDATA("Influx of New Client",Control!$A$3,"Month",A9)</f>
        <v>#REF!</v>
      </c>
      <c r="D9" t="e">
        <f>IFERROR(GETPIVOTDATA("Influx of New Client",Control!$A$19,"Month",A9),NA())</f>
        <v>#N/A</v>
      </c>
      <c r="E9" t="e">
        <f t="shared" si="0"/>
        <v>#N/A</v>
      </c>
    </row>
    <row r="10" spans="1:5" x14ac:dyDescent="0.25">
      <c r="A10">
        <v>8</v>
      </c>
      <c r="B10" t="s">
        <v>19</v>
      </c>
      <c r="C10" t="e">
        <f>GETPIVOTDATA("Influx of New Client",Control!$A$3,"Month",A10)</f>
        <v>#REF!</v>
      </c>
      <c r="D10" t="e">
        <f>IFERROR(GETPIVOTDATA("Influx of New Client",Control!$A$19,"Month",A10),NA())</f>
        <v>#N/A</v>
      </c>
      <c r="E10" t="e">
        <f t="shared" si="0"/>
        <v>#N/A</v>
      </c>
    </row>
    <row r="11" spans="1:5" x14ac:dyDescent="0.25">
      <c r="A11">
        <v>9</v>
      </c>
      <c r="B11" t="s">
        <v>58</v>
      </c>
      <c r="C11" t="e">
        <f>GETPIVOTDATA("Influx of New Client",Control!$A$3,"Month",A11)</f>
        <v>#REF!</v>
      </c>
      <c r="D11">
        <f>IFERROR(GETPIVOTDATA("Influx of New Client",Control!$A$19,"Month",A11),NA())</f>
        <v>176</v>
      </c>
      <c r="E11" t="e">
        <f t="shared" si="0"/>
        <v>#REF!</v>
      </c>
    </row>
    <row r="12" spans="1:5" x14ac:dyDescent="0.25">
      <c r="A12">
        <v>10</v>
      </c>
      <c r="B12" t="s">
        <v>26</v>
      </c>
      <c r="C12" t="e">
        <f>GETPIVOTDATA("Influx of New Client",Control!$A$3,"Month",A12)</f>
        <v>#REF!</v>
      </c>
      <c r="D12">
        <f>IFERROR(GETPIVOTDATA("Influx of New Client",Control!$A$19,"Month",A12),NA())</f>
        <v>195</v>
      </c>
      <c r="E12" t="e">
        <f t="shared" si="0"/>
        <v>#REF!</v>
      </c>
    </row>
    <row r="13" spans="1:5" x14ac:dyDescent="0.25">
      <c r="A13">
        <v>11</v>
      </c>
      <c r="B13" t="s">
        <v>134</v>
      </c>
      <c r="C13" t="e">
        <f>GETPIVOTDATA("Influx of New Client",Control!$A$3,"Month",A13)</f>
        <v>#REF!</v>
      </c>
      <c r="D13" t="e">
        <f>IFERROR(GETPIVOTDATA("Influx of New Client",Control!$A$19,"Month",A13),NA())</f>
        <v>#N/A</v>
      </c>
      <c r="E13" t="e">
        <f t="shared" si="0"/>
        <v>#N/A</v>
      </c>
    </row>
    <row r="14" spans="1:5" x14ac:dyDescent="0.25">
      <c r="A14">
        <v>12</v>
      </c>
      <c r="B14" t="s">
        <v>130</v>
      </c>
      <c r="C14" t="e">
        <f>GETPIVOTDATA("Influx of New Client",Control!$A$3,"Month",A14)</f>
        <v>#REF!</v>
      </c>
      <c r="D14" t="e">
        <f>IFERROR(GETPIVOTDATA("Influx of New Client",Control!$A$19,"Month",A14),NA())</f>
        <v>#N/A</v>
      </c>
      <c r="E14" t="e">
        <f t="shared" si="0"/>
        <v>#N/A</v>
      </c>
    </row>
    <row r="15" spans="1:5" x14ac:dyDescent="0.25">
      <c r="D15" t="e">
        <f>SUM(D3:D14)</f>
        <v>#N/A</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9C56-7B23-4D5D-B8ED-4639ED7E4838}">
  <sheetPr codeName="Sheet5"/>
  <dimension ref="A1"/>
  <sheetViews>
    <sheetView workbookViewId="0">
      <selection activeCell="G1" sqref="G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5207-21EE-4045-BB45-FCF50087CE22}">
  <sheetPr codeName="Sheet7"/>
  <dimension ref="A1:N52"/>
  <sheetViews>
    <sheetView workbookViewId="0">
      <selection activeCell="K16" sqref="K16"/>
    </sheetView>
  </sheetViews>
  <sheetFormatPr defaultRowHeight="15" x14ac:dyDescent="0.25"/>
  <cols>
    <col min="1" max="1" width="10.85546875" style="3" bestFit="1" customWidth="1"/>
    <col min="2" max="2" width="13.28515625" style="3" bestFit="1" customWidth="1"/>
    <col min="3" max="3" width="10.85546875" style="3" customWidth="1"/>
    <col min="4" max="4" width="10.5703125" style="3" bestFit="1" customWidth="1"/>
    <col min="5" max="5" width="13.28515625" style="3" bestFit="1" customWidth="1"/>
    <col min="6" max="6" width="9.140625" style="3"/>
    <col min="7" max="7" width="13.28515625" style="3" bestFit="1" customWidth="1"/>
    <col min="8" max="8" width="16.28515625" style="3" bestFit="1" customWidth="1"/>
    <col min="9" max="9" width="16.28515625" style="3" customWidth="1"/>
    <col min="10" max="10" width="13.7109375" style="3" bestFit="1" customWidth="1"/>
    <col min="11" max="11" width="13.28515625" bestFit="1" customWidth="1"/>
    <col min="13" max="13" width="15.42578125" style="3" bestFit="1" customWidth="1"/>
    <col min="14" max="14" width="13.28515625" bestFit="1" customWidth="1"/>
  </cols>
  <sheetData>
    <row r="1" spans="1:14" s="15" customFormat="1" x14ac:dyDescent="0.25">
      <c r="A1" s="15" t="s">
        <v>143</v>
      </c>
    </row>
    <row r="2" spans="1:14" x14ac:dyDescent="0.25">
      <c r="A2" s="2" t="s">
        <v>2</v>
      </c>
      <c r="B2" s="2" t="s">
        <v>8</v>
      </c>
      <c r="C2" s="2"/>
      <c r="D2" s="2" t="s">
        <v>4</v>
      </c>
      <c r="E2" s="2" t="s">
        <v>8</v>
      </c>
      <c r="F2" s="2" t="s">
        <v>5</v>
      </c>
      <c r="G2" s="2" t="s">
        <v>8</v>
      </c>
      <c r="H2" s="2" t="s">
        <v>6</v>
      </c>
      <c r="I2" s="2" t="s">
        <v>8</v>
      </c>
      <c r="J2" s="2" t="s">
        <v>7</v>
      </c>
      <c r="K2" s="2" t="s">
        <v>8</v>
      </c>
      <c r="M2" s="2" t="s">
        <v>3</v>
      </c>
      <c r="N2" s="2" t="s">
        <v>8</v>
      </c>
    </row>
    <row r="3" spans="1:14" x14ac:dyDescent="0.25">
      <c r="A3" s="3" t="s">
        <v>12</v>
      </c>
      <c r="B3" s="3">
        <f>SUMIF('Sales Data'!$C$2:$C$51,A3,'Sales Data'!$I$2:$I$51)</f>
        <v>132758</v>
      </c>
      <c r="D3" s="3" t="s">
        <v>13</v>
      </c>
      <c r="E3" s="3">
        <f>SUMIF('Sales Data'!$E$2:$E$51,D3,'Sales Data'!I2:I51)</f>
        <v>154618</v>
      </c>
      <c r="F3" s="3" t="s">
        <v>14</v>
      </c>
      <c r="G3" s="3">
        <f>SUMIF('Sales Data'!$F$2:$F$51,F3,'Sales Data'!I2:I51)</f>
        <v>212629</v>
      </c>
      <c r="H3" s="3" t="s">
        <v>15</v>
      </c>
      <c r="I3" s="3">
        <f>SUMIF('Sales Data'!$G$2:$G$51,H3,'Sales Data'!I2:I51)</f>
        <v>155973</v>
      </c>
      <c r="J3" s="3" t="s">
        <v>16</v>
      </c>
      <c r="K3">
        <f>SUMIF('Sales Data'!$H$2:$H$51,J3,'Sales Data'!I2:I51)</f>
        <v>18792</v>
      </c>
      <c r="M3" s="3" t="s">
        <v>104</v>
      </c>
      <c r="N3" s="3">
        <f>SUMIF('Sales Data'!$D$2:$D$51,M3,'Sales Data'!$I$2:$I$51)</f>
        <v>81111</v>
      </c>
    </row>
    <row r="4" spans="1:14" x14ac:dyDescent="0.25">
      <c r="A4" s="3" t="s">
        <v>19</v>
      </c>
      <c r="B4" s="3">
        <f>SUMIF('Sales Data'!$C$2:$C$51,A4,'Sales Data'!$I$2:$I$51)</f>
        <v>76666</v>
      </c>
      <c r="D4" s="3" t="s">
        <v>20</v>
      </c>
      <c r="E4" s="3">
        <f>SUMIF('Sales Data'!$E$2:$E$51,D4,'Sales Data'!I3:I52)</f>
        <v>61797</v>
      </c>
      <c r="F4" s="3" t="s">
        <v>21</v>
      </c>
      <c r="G4" s="3">
        <f>SUMIF('Sales Data'!$F$2:$F$51,F4,'Sales Data'!I3:I52)</f>
        <v>347632</v>
      </c>
      <c r="H4" s="3" t="s">
        <v>22</v>
      </c>
      <c r="I4" s="3">
        <f>SUMIF('Sales Data'!$G$2:$G$51,H4,'Sales Data'!I3:I52)</f>
        <v>228660</v>
      </c>
      <c r="J4" s="3" t="s">
        <v>23</v>
      </c>
      <c r="K4">
        <f>SUMIF('Sales Data'!$H$2:$H$51,J4,'Sales Data'!I3:I52)</f>
        <v>90854</v>
      </c>
      <c r="M4" s="3" t="s">
        <v>105</v>
      </c>
      <c r="N4" s="3">
        <f>SUMIF('Sales Data'!$D$2:$D$51,M4,'Sales Data'!$I$2:$I$51)</f>
        <v>45225</v>
      </c>
    </row>
    <row r="5" spans="1:14" x14ac:dyDescent="0.25">
      <c r="A5" s="3" t="s">
        <v>26</v>
      </c>
      <c r="B5" s="3">
        <f>SUMIF('Sales Data'!$C$2:$C$51,A5,'Sales Data'!$I$2:$I$51)</f>
        <v>46534</v>
      </c>
      <c r="D5" s="3" t="s">
        <v>27</v>
      </c>
      <c r="E5" s="3">
        <f>SUMIF('Sales Data'!$E$2:$E$51,D5,'Sales Data'!I4:I53)</f>
        <v>42454</v>
      </c>
      <c r="F5" s="3" t="s">
        <v>33</v>
      </c>
      <c r="G5" s="3">
        <f>SUMIF('Sales Data'!$F$2:$F$51,F5,'Sales Data'!I4:I53)</f>
        <v>139463</v>
      </c>
      <c r="H5" s="3" t="s">
        <v>38</v>
      </c>
      <c r="I5" s="3">
        <f>SUMIF('Sales Data'!$G$2:$G$51,H5,'Sales Data'!I4:I53)</f>
        <v>201761</v>
      </c>
      <c r="J5" s="3" t="s">
        <v>28</v>
      </c>
      <c r="K5">
        <f>SUMIF('Sales Data'!$H$2:$H$51,J5,'Sales Data'!I4:I53)</f>
        <v>96868</v>
      </c>
      <c r="M5" s="3" t="s">
        <v>106</v>
      </c>
      <c r="N5" s="3">
        <f>SUMIF('Sales Data'!$D$2:$D$51,M5,'Sales Data'!$I$2:$I$51)</f>
        <v>17904</v>
      </c>
    </row>
    <row r="6" spans="1:14" x14ac:dyDescent="0.25">
      <c r="A6" s="3" t="s">
        <v>31</v>
      </c>
      <c r="B6" s="3">
        <f>SUMIF('Sales Data'!$C$2:$C$51,A6,'Sales Data'!$I$2:$I$51)</f>
        <v>160820</v>
      </c>
      <c r="D6" s="3" t="s">
        <v>32</v>
      </c>
      <c r="E6" s="3">
        <f>SUMIF('Sales Data'!$E$2:$E$51,D6,'Sales Data'!I5:I54)</f>
        <v>92346</v>
      </c>
      <c r="F6" s="3" t="s">
        <v>55</v>
      </c>
      <c r="G6" s="3">
        <f>SUMIF('Sales Data'!$F$2:$F$51,F6,'Sales Data'!I5:I54)</f>
        <v>159580</v>
      </c>
      <c r="H6" s="3" t="s">
        <v>51</v>
      </c>
      <c r="I6" s="3">
        <f>SUMIF('Sales Data'!$G$2:$G$51,H6,'Sales Data'!I5:I54)</f>
        <v>103777</v>
      </c>
      <c r="J6" s="3" t="s">
        <v>34</v>
      </c>
      <c r="K6">
        <f>SUMIF('Sales Data'!$H$2:$H$51,J6,'Sales Data'!I5:I54)</f>
        <v>40743</v>
      </c>
      <c r="M6" s="3" t="s">
        <v>107</v>
      </c>
      <c r="N6" s="3">
        <f>SUMIF('Sales Data'!$D$2:$D$51,M6,'Sales Data'!$I$2:$I$51)</f>
        <v>64490</v>
      </c>
    </row>
    <row r="7" spans="1:14" x14ac:dyDescent="0.25">
      <c r="A7" s="3" t="s">
        <v>44</v>
      </c>
      <c r="B7" s="3">
        <f>SUMIF('Sales Data'!$C$2:$C$51,A7,'Sales Data'!$I$2:$I$51)</f>
        <v>101409</v>
      </c>
      <c r="D7" s="3" t="s">
        <v>37</v>
      </c>
      <c r="E7" s="3">
        <f>SUMIF('Sales Data'!$E$2:$E$51,D7,'Sales Data'!I6:I55)</f>
        <v>110716</v>
      </c>
      <c r="F7"/>
      <c r="H7"/>
      <c r="J7" s="3" t="s">
        <v>39</v>
      </c>
      <c r="K7">
        <f>SUMIF('Sales Data'!$H$2:$H$51,J7,'Sales Data'!I6:I55)</f>
        <v>73052</v>
      </c>
      <c r="M7" s="3" t="s">
        <v>108</v>
      </c>
      <c r="N7" s="3">
        <f>SUMIF('Sales Data'!$D$2:$D$51,M7,'Sales Data'!$I$2:$I$51)</f>
        <v>20622</v>
      </c>
    </row>
    <row r="8" spans="1:14" x14ac:dyDescent="0.25">
      <c r="A8" s="3" t="s">
        <v>48</v>
      </c>
      <c r="B8" s="3">
        <f>SUMIF('Sales Data'!$C$2:$C$51,A8,'Sales Data'!$I$2:$I$51)</f>
        <v>87993</v>
      </c>
      <c r="D8" s="3" t="s">
        <v>54</v>
      </c>
      <c r="E8" s="3">
        <f>SUMIF('Sales Data'!$E$2:$E$51,D8,'Sales Data'!I7:I56)</f>
        <v>107163</v>
      </c>
      <c r="F8"/>
      <c r="H8"/>
      <c r="J8" s="3" t="s">
        <v>41</v>
      </c>
      <c r="K8">
        <f>SUMIF('Sales Data'!$H$2:$H$51,J8,'Sales Data'!I7:I56)</f>
        <v>55976</v>
      </c>
      <c r="M8" s="3" t="s">
        <v>109</v>
      </c>
      <c r="N8" s="3">
        <f>SUMIF('Sales Data'!$D$2:$D$51,M8,'Sales Data'!$I$2:$I$51)</f>
        <v>111605</v>
      </c>
    </row>
    <row r="9" spans="1:14" x14ac:dyDescent="0.25">
      <c r="A9" s="3" t="s">
        <v>58</v>
      </c>
      <c r="B9" s="3">
        <f>SUMIF('Sales Data'!$C$2:$C$51,A9,'Sales Data'!$I$2:$I$51)</f>
        <v>16799</v>
      </c>
      <c r="D9" s="3" t="s">
        <v>69</v>
      </c>
      <c r="E9" s="3">
        <f>SUMIF('Sales Data'!$E$2:$E$51,D9,'Sales Data'!I8:I57)</f>
        <v>54034</v>
      </c>
      <c r="F9"/>
      <c r="H9"/>
      <c r="J9" s="3" t="s">
        <v>45</v>
      </c>
      <c r="K9">
        <f>SUMIF('Sales Data'!$H$2:$H$51,J9,'Sales Data'!I8:I57)</f>
        <v>96051</v>
      </c>
      <c r="M9" s="3" t="s">
        <v>110</v>
      </c>
      <c r="N9" s="3">
        <f>SUMIF('Sales Data'!$D$2:$D$51,M9,'Sales Data'!$I$2:$I$51)</f>
        <v>92721</v>
      </c>
    </row>
    <row r="10" spans="1:14" x14ac:dyDescent="0.25">
      <c r="A10" s="3" t="s">
        <v>66</v>
      </c>
      <c r="B10" s="3">
        <f>SUMIF('Sales Data'!$C$2:$C$51,A10,'Sales Data'!$I$2:$I$51)</f>
        <v>124461</v>
      </c>
      <c r="D10" s="3" t="s">
        <v>77</v>
      </c>
      <c r="E10" s="3">
        <f>SUMIF('Sales Data'!$E$2:$E$51,D10,'Sales Data'!I9:I58)</f>
        <v>108563</v>
      </c>
      <c r="F10"/>
      <c r="H10"/>
      <c r="J10" s="3" t="s">
        <v>49</v>
      </c>
      <c r="K10">
        <f>SUMIF('Sales Data'!$H$2:$H$51,J10,'Sales Data'!I9:I58)</f>
        <v>85468</v>
      </c>
      <c r="M10" s="3" t="s">
        <v>111</v>
      </c>
      <c r="N10" s="3">
        <f>SUMIF('Sales Data'!$D$2:$D$51,M10,'Sales Data'!$I$2:$I$51)</f>
        <v>167206</v>
      </c>
    </row>
    <row r="11" spans="1:14" x14ac:dyDescent="0.25">
      <c r="A11" s="3" t="s">
        <v>73</v>
      </c>
      <c r="B11" s="3">
        <f>SUMIF('Sales Data'!$C$2:$C$51,A11,'Sales Data'!$I$2:$I$51)</f>
        <v>24120</v>
      </c>
      <c r="D11"/>
      <c r="E11"/>
      <c r="F11"/>
      <c r="G11"/>
      <c r="H11"/>
      <c r="J11" s="3" t="s">
        <v>52</v>
      </c>
      <c r="K11">
        <f>SUMIF('Sales Data'!$H$2:$H$51,J11,'Sales Data'!I10:I59)</f>
        <v>46620</v>
      </c>
      <c r="M11" s="3" t="s">
        <v>112</v>
      </c>
      <c r="N11" s="3">
        <f>SUMIF('Sales Data'!$D$2:$D$51,M11,'Sales Data'!$I$2:$I$51)</f>
        <v>16536</v>
      </c>
    </row>
    <row r="12" spans="1:14" x14ac:dyDescent="0.25">
      <c r="A12" s="3" t="s">
        <v>84</v>
      </c>
      <c r="B12" s="3">
        <f>SUMIF('Sales Data'!$C$2:$C$51,A12,'Sales Data'!$I$2:$I$51)</f>
        <v>15466</v>
      </c>
      <c r="D12"/>
      <c r="E12"/>
      <c r="F12"/>
      <c r="G12"/>
      <c r="H12"/>
      <c r="J12" s="3" t="s">
        <v>56</v>
      </c>
      <c r="K12">
        <f>SUMIF('Sales Data'!$H$2:$H$51,J12,'Sales Data'!I11:I60)</f>
        <v>5478</v>
      </c>
      <c r="M12" s="3" t="s">
        <v>113</v>
      </c>
      <c r="N12" s="3">
        <f>SUMIF('Sales Data'!$D$2:$D$51,M12,'Sales Data'!$I$2:$I$51)</f>
        <v>37990</v>
      </c>
    </row>
    <row r="13" spans="1:14" x14ac:dyDescent="0.25">
      <c r="A13"/>
      <c r="B13"/>
      <c r="C13"/>
      <c r="D13"/>
      <c r="E13"/>
      <c r="F13"/>
      <c r="G13"/>
      <c r="H13"/>
      <c r="J13" s="3" t="s">
        <v>59</v>
      </c>
      <c r="K13">
        <f>SUMIF('Sales Data'!$H$2:$H$51,J13,'Sales Data'!I12:I61)</f>
        <v>72196</v>
      </c>
      <c r="M13" s="3" t="s">
        <v>114</v>
      </c>
      <c r="N13" s="3">
        <f>SUMIF('Sales Data'!$D$2:$D$51,M13,'Sales Data'!$I$2:$I$51)</f>
        <v>10740</v>
      </c>
    </row>
    <row r="14" spans="1:14" x14ac:dyDescent="0.25">
      <c r="A14"/>
      <c r="B14"/>
      <c r="C14"/>
      <c r="D14"/>
      <c r="E14"/>
      <c r="F14"/>
      <c r="G14"/>
      <c r="H14"/>
      <c r="J14" s="3" t="s">
        <v>74</v>
      </c>
      <c r="K14">
        <f>SUMIF('Sales Data'!$H$2:$H$51,J14,'Sales Data'!I13:I62)</f>
        <v>54044</v>
      </c>
      <c r="M14" s="3" t="s">
        <v>115</v>
      </c>
      <c r="N14" s="3">
        <f>SUMIF('Sales Data'!$D$2:$D$51,M14,'Sales Data'!$I$2:$I$51)</f>
        <v>25517</v>
      </c>
    </row>
    <row r="15" spans="1:14" x14ac:dyDescent="0.25">
      <c r="A15"/>
      <c r="B15"/>
      <c r="C15"/>
      <c r="D15"/>
      <c r="E15"/>
      <c r="F15"/>
      <c r="G15"/>
      <c r="H15"/>
      <c r="J15" s="3" t="s">
        <v>87</v>
      </c>
      <c r="K15">
        <f>SUMIF('Sales Data'!$H$2:$H$51,J15,'Sales Data'!I14:I63)</f>
        <v>43872</v>
      </c>
      <c r="M15" s="3" t="s">
        <v>116</v>
      </c>
      <c r="N15" s="3">
        <f>SUMIF('Sales Data'!$D$2:$D$51,M15,'Sales Data'!$I$2:$I$51)</f>
        <v>26608</v>
      </c>
    </row>
    <row r="16" spans="1:14" x14ac:dyDescent="0.25">
      <c r="A16"/>
      <c r="B16"/>
      <c r="C16"/>
      <c r="D16"/>
      <c r="E16"/>
      <c r="F16"/>
      <c r="G16"/>
      <c r="H16"/>
      <c r="J16" s="3" t="s">
        <v>94</v>
      </c>
      <c r="K16">
        <f>SUMIF('Sales Data'!$H$2:$H$51,J16,'Sales Data'!I15:I64)</f>
        <v>0</v>
      </c>
      <c r="M16" s="3" t="s">
        <v>117</v>
      </c>
      <c r="N16" s="3">
        <f>SUMIF('Sales Data'!$D$2:$D$51,M16,'Sales Data'!$I$2:$I$51)</f>
        <v>41040</v>
      </c>
    </row>
    <row r="17" spans="1:14" x14ac:dyDescent="0.25">
      <c r="A17"/>
      <c r="B17"/>
      <c r="C17"/>
      <c r="D17"/>
      <c r="E17"/>
      <c r="F17"/>
      <c r="G17"/>
      <c r="H17"/>
      <c r="I17"/>
      <c r="J17"/>
      <c r="M17" s="3" t="s">
        <v>118</v>
      </c>
      <c r="N17" s="3">
        <f>SUMIF('Sales Data'!$D$2:$D$51,M17,'Sales Data'!$I$2:$I$51)</f>
        <v>11967</v>
      </c>
    </row>
    <row r="18" spans="1:14" x14ac:dyDescent="0.25">
      <c r="A18"/>
      <c r="B18"/>
      <c r="C18"/>
      <c r="D18"/>
      <c r="E18"/>
      <c r="F18"/>
      <c r="G18"/>
      <c r="H18"/>
      <c r="I18"/>
      <c r="J18"/>
      <c r="M18" s="3" t="s">
        <v>119</v>
      </c>
      <c r="N18" s="3">
        <f>SUMIF('Sales Data'!$D$2:$D$51,M18,'Sales Data'!$I$2:$I$51)</f>
        <v>8409</v>
      </c>
    </row>
    <row r="19" spans="1:14" x14ac:dyDescent="0.25">
      <c r="A19"/>
      <c r="B19"/>
      <c r="C19"/>
      <c r="D19"/>
      <c r="E19"/>
      <c r="F19"/>
      <c r="G19"/>
      <c r="H19"/>
      <c r="I19"/>
      <c r="J19"/>
      <c r="M19" s="3" t="s">
        <v>120</v>
      </c>
      <c r="N19" s="3">
        <f>SUMIF('Sales Data'!$D$2:$D$51,M19,'Sales Data'!$I$2:$I$51)</f>
        <v>7335</v>
      </c>
    </row>
    <row r="20" spans="1:14" x14ac:dyDescent="0.25">
      <c r="A20"/>
      <c r="B20"/>
      <c r="C20"/>
      <c r="D20"/>
      <c r="E20"/>
      <c r="F20"/>
      <c r="G20"/>
      <c r="H20"/>
      <c r="I20"/>
      <c r="J20"/>
      <c r="M20"/>
    </row>
    <row r="21" spans="1:14" x14ac:dyDescent="0.25">
      <c r="A21"/>
      <c r="B21"/>
      <c r="C21"/>
      <c r="D21"/>
      <c r="E21"/>
      <c r="F21"/>
      <c r="G21"/>
      <c r="H21"/>
      <c r="I21"/>
      <c r="J21"/>
      <c r="M21"/>
    </row>
    <row r="22" spans="1:14" x14ac:dyDescent="0.25">
      <c r="A22"/>
      <c r="B22"/>
      <c r="C22"/>
      <c r="D22"/>
      <c r="E22"/>
      <c r="F22"/>
      <c r="G22"/>
      <c r="H22"/>
      <c r="I22"/>
      <c r="J22"/>
      <c r="M22"/>
    </row>
    <row r="23" spans="1:14" x14ac:dyDescent="0.25">
      <c r="A23"/>
      <c r="B23"/>
      <c r="C23"/>
      <c r="D23"/>
      <c r="E23"/>
      <c r="F23"/>
      <c r="G23"/>
      <c r="H23"/>
      <c r="I23"/>
      <c r="J23"/>
      <c r="M23"/>
    </row>
    <row r="24" spans="1:14" x14ac:dyDescent="0.25">
      <c r="A24"/>
      <c r="B24"/>
      <c r="C24"/>
      <c r="D24"/>
      <c r="E24"/>
      <c r="F24"/>
      <c r="G24"/>
      <c r="H24"/>
      <c r="I24"/>
      <c r="J24"/>
      <c r="M24"/>
    </row>
    <row r="25" spans="1:14" x14ac:dyDescent="0.25">
      <c r="A25"/>
      <c r="B25"/>
      <c r="C25"/>
      <c r="D25"/>
      <c r="E25"/>
      <c r="F25"/>
      <c r="G25"/>
      <c r="H25"/>
      <c r="I25"/>
      <c r="J25"/>
      <c r="M25"/>
    </row>
    <row r="26" spans="1:14" x14ac:dyDescent="0.25">
      <c r="A26"/>
      <c r="B26"/>
      <c r="C26"/>
      <c r="D26"/>
      <c r="E26"/>
      <c r="F26"/>
      <c r="G26"/>
      <c r="H26"/>
      <c r="I26"/>
      <c r="J26"/>
      <c r="M26"/>
    </row>
    <row r="27" spans="1:14" x14ac:dyDescent="0.25">
      <c r="A27"/>
      <c r="B27"/>
      <c r="C27"/>
      <c r="D27"/>
      <c r="E27"/>
      <c r="F27"/>
      <c r="G27"/>
      <c r="H27"/>
      <c r="I27"/>
      <c r="J27"/>
      <c r="M27"/>
    </row>
    <row r="28" spans="1:14" x14ac:dyDescent="0.25">
      <c r="A28"/>
      <c r="B28"/>
      <c r="C28"/>
      <c r="D28"/>
      <c r="E28"/>
      <c r="F28"/>
      <c r="G28"/>
      <c r="H28"/>
      <c r="I28"/>
      <c r="J28"/>
      <c r="M28"/>
    </row>
    <row r="29" spans="1:14" x14ac:dyDescent="0.25">
      <c r="A29"/>
      <c r="B29"/>
      <c r="C29"/>
      <c r="D29"/>
      <c r="E29"/>
      <c r="F29"/>
      <c r="G29"/>
      <c r="H29"/>
      <c r="I29"/>
      <c r="J29"/>
      <c r="M29"/>
    </row>
    <row r="30" spans="1:14" x14ac:dyDescent="0.25">
      <c r="A30"/>
      <c r="B30"/>
      <c r="C30"/>
      <c r="D30"/>
      <c r="E30"/>
      <c r="F30"/>
      <c r="G30"/>
      <c r="H30"/>
      <c r="I30"/>
      <c r="J30"/>
      <c r="M30"/>
    </row>
    <row r="31" spans="1:14" x14ac:dyDescent="0.25">
      <c r="A31"/>
      <c r="B31"/>
      <c r="C31"/>
      <c r="D31"/>
      <c r="E31"/>
      <c r="F31"/>
      <c r="G31"/>
      <c r="H31"/>
      <c r="I31"/>
      <c r="J31"/>
      <c r="M31"/>
    </row>
    <row r="32" spans="1:14" x14ac:dyDescent="0.25">
      <c r="A32"/>
      <c r="B32"/>
      <c r="C32"/>
      <c r="D32"/>
      <c r="E32"/>
      <c r="F32"/>
      <c r="G32"/>
      <c r="H32"/>
      <c r="I32"/>
      <c r="J32"/>
      <c r="M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sheetData>
  <mergeCells count="1">
    <mergeCell ref="A1:XFD1"/>
  </mergeCells>
  <conditionalFormatting sqref="M3:M19">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V51"/>
  <sheetViews>
    <sheetView workbookViewId="0">
      <selection activeCell="M21" sqref="M21"/>
    </sheetView>
  </sheetViews>
  <sheetFormatPr defaultRowHeight="15" x14ac:dyDescent="0.25"/>
  <cols>
    <col min="1" max="1" width="8.42578125" style="3" bestFit="1" customWidth="1"/>
    <col min="2" max="2" width="10.7109375" bestFit="1" customWidth="1"/>
    <col min="3" max="3" width="10.85546875" style="3" bestFit="1" customWidth="1"/>
    <col min="4" max="4" width="15.42578125" style="3" bestFit="1" customWidth="1"/>
    <col min="5" max="5" width="10.5703125" style="3" bestFit="1" customWidth="1"/>
    <col min="6" max="6" width="9.140625" style="3"/>
    <col min="7" max="7" width="16.28515625" style="3" bestFit="1" customWidth="1"/>
    <col min="8" max="8" width="13.7109375" style="3" bestFit="1" customWidth="1"/>
    <col min="9" max="9" width="13.28515625" style="3" bestFit="1" customWidth="1"/>
    <col min="10" max="10" width="8.7109375" style="3" bestFit="1" customWidth="1"/>
    <col min="11" max="11" width="11.7109375" style="3" bestFit="1" customWidth="1"/>
    <col min="12" max="12" width="9.140625" customWidth="1"/>
    <col min="13" max="13" width="15.42578125" style="3" bestFit="1" customWidth="1"/>
    <col min="14" max="14" width="13.28515625" bestFit="1" customWidth="1"/>
    <col min="16" max="16" width="11.7109375" style="3" bestFit="1" customWidth="1"/>
    <col min="17" max="17" width="13.28515625" bestFit="1" customWidth="1"/>
    <col min="19" max="19" width="13.7109375" style="3" bestFit="1" customWidth="1"/>
  </cols>
  <sheetData>
    <row r="1" spans="1:22" x14ac:dyDescent="0.25">
      <c r="A1" s="2" t="s">
        <v>0</v>
      </c>
      <c r="B1" s="1" t="s">
        <v>1</v>
      </c>
      <c r="C1" s="2" t="s">
        <v>2</v>
      </c>
      <c r="D1" s="2" t="s">
        <v>3</v>
      </c>
      <c r="E1" s="2" t="s">
        <v>4</v>
      </c>
      <c r="F1" s="2" t="s">
        <v>5</v>
      </c>
      <c r="G1" s="2" t="s">
        <v>6</v>
      </c>
      <c r="H1" s="2" t="s">
        <v>7</v>
      </c>
      <c r="I1" s="2" t="s">
        <v>8</v>
      </c>
      <c r="J1" s="2" t="s">
        <v>9</v>
      </c>
      <c r="K1" s="2" t="s">
        <v>10</v>
      </c>
      <c r="M1" s="2" t="s">
        <v>3</v>
      </c>
      <c r="N1" s="2" t="s">
        <v>8</v>
      </c>
      <c r="O1" s="3"/>
      <c r="P1" s="2" t="s">
        <v>10</v>
      </c>
      <c r="Q1" s="2" t="s">
        <v>8</v>
      </c>
      <c r="R1" s="3"/>
      <c r="S1" s="2" t="s">
        <v>7</v>
      </c>
      <c r="T1" s="2" t="s">
        <v>9</v>
      </c>
      <c r="U1" s="3"/>
      <c r="V1" s="3"/>
    </row>
    <row r="2" spans="1:22" x14ac:dyDescent="0.25">
      <c r="A2" s="3">
        <v>1001</v>
      </c>
      <c r="B2" t="s">
        <v>11</v>
      </c>
      <c r="C2" s="3" t="s">
        <v>12</v>
      </c>
      <c r="D2" s="3" t="s">
        <v>104</v>
      </c>
      <c r="E2" s="3" t="s">
        <v>13</v>
      </c>
      <c r="F2" s="3" t="s">
        <v>14</v>
      </c>
      <c r="G2" s="3" t="s">
        <v>15</v>
      </c>
      <c r="H2" s="3" t="s">
        <v>16</v>
      </c>
      <c r="I2" s="3">
        <v>18792</v>
      </c>
      <c r="J2" s="3">
        <v>6</v>
      </c>
      <c r="K2" s="3" t="s">
        <v>17</v>
      </c>
      <c r="M2" s="3" t="s">
        <v>104</v>
      </c>
      <c r="N2" s="3">
        <f>SUMIF($D$2:$D$51,M2,$I$1:$I$51)</f>
        <v>87606</v>
      </c>
      <c r="O2" s="3"/>
      <c r="P2" s="3" t="s">
        <v>17</v>
      </c>
      <c r="Q2" s="3">
        <f t="shared" ref="Q2:Q7" si="0">SUMIF($K$2:$K$51,P2,$I$2:$I$51)</f>
        <v>196915</v>
      </c>
      <c r="R2" s="3"/>
      <c r="S2" s="3" t="s">
        <v>16</v>
      </c>
      <c r="T2" s="3">
        <f>SUMIF($H$2:$H$51,S2,$J$2:$J$51)</f>
        <v>6</v>
      </c>
      <c r="U2" s="3"/>
      <c r="V2" s="3"/>
    </row>
    <row r="3" spans="1:22" x14ac:dyDescent="0.25">
      <c r="A3" s="3">
        <v>1002</v>
      </c>
      <c r="B3" t="s">
        <v>18</v>
      </c>
      <c r="C3" s="3" t="s">
        <v>19</v>
      </c>
      <c r="D3" s="3" t="s">
        <v>105</v>
      </c>
      <c r="E3" s="3" t="s">
        <v>20</v>
      </c>
      <c r="F3" s="3" t="s">
        <v>21</v>
      </c>
      <c r="G3" s="3" t="s">
        <v>22</v>
      </c>
      <c r="H3" s="3" t="s">
        <v>23</v>
      </c>
      <c r="I3" s="3">
        <v>16910</v>
      </c>
      <c r="J3" s="3">
        <v>5</v>
      </c>
      <c r="K3" s="3" t="s">
        <v>24</v>
      </c>
      <c r="M3" s="3" t="s">
        <v>105</v>
      </c>
      <c r="N3" s="3">
        <f t="shared" ref="N3:N18" si="1">SUMIF($D$2:$D$51,M3,$I$1:$I$51)</f>
        <v>21760</v>
      </c>
      <c r="O3" s="3"/>
      <c r="P3" s="3" t="s">
        <v>24</v>
      </c>
      <c r="Q3" s="3">
        <f t="shared" si="0"/>
        <v>217163</v>
      </c>
      <c r="R3" s="3"/>
      <c r="S3" s="3" t="s">
        <v>23</v>
      </c>
      <c r="T3" s="3">
        <f t="shared" ref="T3:T20" si="2">SUMIF($H$2:$H$51,S3,$J$2:$J$51)</f>
        <v>42</v>
      </c>
      <c r="U3" s="3"/>
      <c r="V3" s="3"/>
    </row>
    <row r="4" spans="1:22" x14ac:dyDescent="0.25">
      <c r="A4" s="3">
        <v>1003</v>
      </c>
      <c r="B4" t="s">
        <v>25</v>
      </c>
      <c r="C4" s="3" t="s">
        <v>26</v>
      </c>
      <c r="D4" s="3" t="s">
        <v>106</v>
      </c>
      <c r="E4" s="3" t="s">
        <v>27</v>
      </c>
      <c r="F4" s="3" t="s">
        <v>14</v>
      </c>
      <c r="G4" s="3" t="s">
        <v>15</v>
      </c>
      <c r="H4" s="3" t="s">
        <v>28</v>
      </c>
      <c r="I4" s="3">
        <v>1426</v>
      </c>
      <c r="J4" s="3">
        <v>1</v>
      </c>
      <c r="K4" s="3" t="s">
        <v>29</v>
      </c>
      <c r="M4" s="3" t="s">
        <v>106</v>
      </c>
      <c r="N4" s="3">
        <f t="shared" si="1"/>
        <v>58158</v>
      </c>
      <c r="O4" s="3"/>
      <c r="P4" s="3" t="s">
        <v>29</v>
      </c>
      <c r="Q4" s="3">
        <f t="shared" si="0"/>
        <v>140431</v>
      </c>
      <c r="R4" s="3"/>
      <c r="S4" s="3" t="s">
        <v>28</v>
      </c>
      <c r="T4" s="3">
        <f t="shared" si="2"/>
        <v>17</v>
      </c>
      <c r="U4" s="3"/>
      <c r="V4" s="3"/>
    </row>
    <row r="5" spans="1:22" x14ac:dyDescent="0.25">
      <c r="A5" s="3">
        <v>1004</v>
      </c>
      <c r="B5" t="s">
        <v>30</v>
      </c>
      <c r="C5" s="3" t="s">
        <v>31</v>
      </c>
      <c r="D5" s="3" t="s">
        <v>107</v>
      </c>
      <c r="E5" s="3" t="s">
        <v>32</v>
      </c>
      <c r="F5" s="3" t="s">
        <v>33</v>
      </c>
      <c r="G5" s="3" t="s">
        <v>22</v>
      </c>
      <c r="H5" s="3" t="s">
        <v>34</v>
      </c>
      <c r="I5" s="3">
        <v>18188</v>
      </c>
      <c r="J5" s="3">
        <v>4</v>
      </c>
      <c r="K5" s="3" t="s">
        <v>35</v>
      </c>
      <c r="M5" s="3" t="s">
        <v>107</v>
      </c>
      <c r="N5" s="3">
        <f t="shared" si="1"/>
        <v>28940</v>
      </c>
      <c r="O5" s="3"/>
      <c r="P5" s="3" t="s">
        <v>35</v>
      </c>
      <c r="Q5" s="3">
        <f t="shared" si="0"/>
        <v>119280</v>
      </c>
      <c r="R5" s="3"/>
      <c r="S5" s="3" t="s">
        <v>34</v>
      </c>
      <c r="T5" s="3">
        <f t="shared" si="2"/>
        <v>12</v>
      </c>
      <c r="U5" s="3"/>
      <c r="V5" s="3"/>
    </row>
    <row r="6" spans="1:22" x14ac:dyDescent="0.25">
      <c r="A6" s="3">
        <v>1005</v>
      </c>
      <c r="B6" t="s">
        <v>36</v>
      </c>
      <c r="C6" s="3" t="s">
        <v>31</v>
      </c>
      <c r="D6" s="3" t="s">
        <v>108</v>
      </c>
      <c r="E6" s="3" t="s">
        <v>37</v>
      </c>
      <c r="F6" s="3" t="s">
        <v>21</v>
      </c>
      <c r="G6" s="3" t="s">
        <v>38</v>
      </c>
      <c r="H6" s="3" t="s">
        <v>39</v>
      </c>
      <c r="I6" s="3">
        <v>16944</v>
      </c>
      <c r="J6" s="3">
        <v>4</v>
      </c>
      <c r="K6" s="3" t="s">
        <v>29</v>
      </c>
      <c r="M6" s="3" t="s">
        <v>108</v>
      </c>
      <c r="N6" s="3">
        <f t="shared" si="1"/>
        <v>31551</v>
      </c>
      <c r="O6" s="3"/>
      <c r="P6" s="3" t="s">
        <v>42</v>
      </c>
      <c r="Q6" s="3">
        <f t="shared" si="0"/>
        <v>81999</v>
      </c>
      <c r="R6" s="3"/>
      <c r="S6" s="3" t="s">
        <v>39</v>
      </c>
      <c r="T6" s="3">
        <f t="shared" si="2"/>
        <v>28</v>
      </c>
      <c r="U6" s="3"/>
      <c r="V6" s="3"/>
    </row>
    <row r="7" spans="1:22" x14ac:dyDescent="0.25">
      <c r="A7" s="3">
        <v>1006</v>
      </c>
      <c r="B7" t="s">
        <v>40</v>
      </c>
      <c r="C7" s="3" t="s">
        <v>12</v>
      </c>
      <c r="D7" s="3" t="s">
        <v>109</v>
      </c>
      <c r="E7" s="3" t="s">
        <v>20</v>
      </c>
      <c r="F7" s="3" t="s">
        <v>21</v>
      </c>
      <c r="G7" s="3" t="s">
        <v>38</v>
      </c>
      <c r="H7" s="3" t="s">
        <v>41</v>
      </c>
      <c r="I7" s="3">
        <v>18105</v>
      </c>
      <c r="J7" s="3">
        <v>5</v>
      </c>
      <c r="K7" s="3" t="s">
        <v>42</v>
      </c>
      <c r="M7" s="3" t="s">
        <v>109</v>
      </c>
      <c r="N7" s="3">
        <f t="shared" si="1"/>
        <v>31421</v>
      </c>
      <c r="O7" s="3"/>
      <c r="P7" s="3" t="s">
        <v>75</v>
      </c>
      <c r="Q7" s="3">
        <f t="shared" si="0"/>
        <v>31238</v>
      </c>
      <c r="R7" s="3"/>
      <c r="S7" s="3" t="s">
        <v>41</v>
      </c>
      <c r="T7" s="3">
        <f t="shared" si="2"/>
        <v>18</v>
      </c>
      <c r="U7" s="3"/>
      <c r="V7" s="3"/>
    </row>
    <row r="8" spans="1:22" x14ac:dyDescent="0.25">
      <c r="A8" s="3">
        <v>1007</v>
      </c>
      <c r="B8" t="s">
        <v>43</v>
      </c>
      <c r="C8" s="3" t="s">
        <v>44</v>
      </c>
      <c r="D8" s="3" t="s">
        <v>110</v>
      </c>
      <c r="E8" s="3" t="s">
        <v>37</v>
      </c>
      <c r="F8" s="3" t="s">
        <v>21</v>
      </c>
      <c r="G8" s="3" t="s">
        <v>15</v>
      </c>
      <c r="H8" s="3" t="s">
        <v>45</v>
      </c>
      <c r="I8" s="3">
        <v>2612</v>
      </c>
      <c r="J8" s="3">
        <v>4</v>
      </c>
      <c r="K8" s="3" t="s">
        <v>42</v>
      </c>
      <c r="M8" s="3" t="s">
        <v>110</v>
      </c>
      <c r="N8" s="3">
        <f t="shared" si="1"/>
        <v>107809</v>
      </c>
      <c r="O8" s="3"/>
      <c r="Q8" s="3"/>
      <c r="R8" s="3"/>
      <c r="S8" s="3" t="s">
        <v>45</v>
      </c>
      <c r="T8" s="3">
        <f t="shared" si="2"/>
        <v>28</v>
      </c>
      <c r="U8" s="3"/>
      <c r="V8" s="3"/>
    </row>
    <row r="9" spans="1:22" x14ac:dyDescent="0.25">
      <c r="A9" s="3">
        <v>1008</v>
      </c>
      <c r="B9" t="s">
        <v>46</v>
      </c>
      <c r="C9" s="3" t="s">
        <v>26</v>
      </c>
      <c r="D9" s="3" t="s">
        <v>111</v>
      </c>
      <c r="E9" s="3" t="s">
        <v>27</v>
      </c>
      <c r="F9" s="3" t="s">
        <v>14</v>
      </c>
      <c r="G9" s="3" t="s">
        <v>15</v>
      </c>
      <c r="H9" s="3" t="s">
        <v>28</v>
      </c>
      <c r="I9" s="3">
        <v>32580</v>
      </c>
      <c r="J9" s="3">
        <v>9</v>
      </c>
      <c r="K9" s="3" t="s">
        <v>29</v>
      </c>
      <c r="M9" s="3" t="s">
        <v>111</v>
      </c>
      <c r="N9" s="3">
        <f t="shared" si="1"/>
        <v>52428</v>
      </c>
      <c r="O9" s="3"/>
      <c r="Q9" s="3"/>
      <c r="R9" s="3"/>
      <c r="S9" s="3" t="s">
        <v>28</v>
      </c>
      <c r="T9" s="3">
        <f t="shared" si="2"/>
        <v>17</v>
      </c>
      <c r="U9" s="3"/>
      <c r="V9" s="3"/>
    </row>
    <row r="10" spans="1:22" x14ac:dyDescent="0.25">
      <c r="A10" s="3">
        <v>1009</v>
      </c>
      <c r="B10" t="s">
        <v>47</v>
      </c>
      <c r="C10" s="3" t="s">
        <v>48</v>
      </c>
      <c r="D10" s="3" t="s">
        <v>112</v>
      </c>
      <c r="E10" s="3" t="s">
        <v>27</v>
      </c>
      <c r="F10" s="3" t="s">
        <v>14</v>
      </c>
      <c r="G10" s="3" t="s">
        <v>38</v>
      </c>
      <c r="H10" s="3" t="s">
        <v>49</v>
      </c>
      <c r="I10" s="3">
        <v>6741</v>
      </c>
      <c r="J10" s="3">
        <v>3</v>
      </c>
      <c r="K10" s="3" t="s">
        <v>29</v>
      </c>
      <c r="M10" s="3" t="s">
        <v>112</v>
      </c>
      <c r="N10" s="3">
        <f t="shared" si="1"/>
        <v>92260</v>
      </c>
      <c r="O10" s="3"/>
      <c r="Q10" s="3"/>
      <c r="R10" s="3"/>
      <c r="S10" s="3" t="s">
        <v>49</v>
      </c>
      <c r="T10" s="3">
        <f t="shared" si="2"/>
        <v>22</v>
      </c>
      <c r="U10" s="3"/>
      <c r="V10" s="3"/>
    </row>
    <row r="11" spans="1:22" x14ac:dyDescent="0.25">
      <c r="A11" s="3">
        <v>1010</v>
      </c>
      <c r="B11" t="s">
        <v>50</v>
      </c>
      <c r="C11" s="3" t="s">
        <v>31</v>
      </c>
      <c r="D11" s="3" t="s">
        <v>113</v>
      </c>
      <c r="E11" s="3" t="s">
        <v>27</v>
      </c>
      <c r="F11" s="3" t="s">
        <v>14</v>
      </c>
      <c r="G11" s="3" t="s">
        <v>51</v>
      </c>
      <c r="H11" s="3" t="s">
        <v>52</v>
      </c>
      <c r="I11" s="3">
        <v>7284</v>
      </c>
      <c r="J11" s="3">
        <v>4</v>
      </c>
      <c r="K11" s="3" t="s">
        <v>29</v>
      </c>
      <c r="M11" s="3" t="s">
        <v>113</v>
      </c>
      <c r="N11" s="3">
        <f t="shared" si="1"/>
        <v>42936</v>
      </c>
      <c r="O11" s="3"/>
      <c r="Q11" s="3"/>
      <c r="R11" s="3"/>
      <c r="S11" s="3" t="s">
        <v>52</v>
      </c>
      <c r="T11" s="3">
        <f t="shared" si="2"/>
        <v>15</v>
      </c>
      <c r="U11" s="3"/>
      <c r="V11" s="3"/>
    </row>
    <row r="12" spans="1:22" x14ac:dyDescent="0.25">
      <c r="A12" s="3">
        <v>1011</v>
      </c>
      <c r="B12" t="s">
        <v>53</v>
      </c>
      <c r="C12" s="3" t="s">
        <v>48</v>
      </c>
      <c r="D12" s="3" t="s">
        <v>107</v>
      </c>
      <c r="E12" s="3" t="s">
        <v>54</v>
      </c>
      <c r="F12" s="3" t="s">
        <v>55</v>
      </c>
      <c r="G12" s="3" t="s">
        <v>51</v>
      </c>
      <c r="H12" s="3" t="s">
        <v>56</v>
      </c>
      <c r="I12" s="3">
        <v>9814</v>
      </c>
      <c r="J12" s="3">
        <v>2</v>
      </c>
      <c r="K12" s="3" t="s">
        <v>42</v>
      </c>
      <c r="M12" s="3" t="s">
        <v>114</v>
      </c>
      <c r="N12" s="3">
        <f t="shared" si="1"/>
        <v>76200</v>
      </c>
      <c r="O12" s="3"/>
      <c r="Q12" s="3"/>
      <c r="R12" s="3"/>
      <c r="S12" s="3" t="s">
        <v>56</v>
      </c>
      <c r="T12" s="3">
        <f t="shared" si="2"/>
        <v>2</v>
      </c>
      <c r="U12" s="3"/>
      <c r="V12" s="3"/>
    </row>
    <row r="13" spans="1:22" x14ac:dyDescent="0.25">
      <c r="A13" s="3">
        <v>1012</v>
      </c>
      <c r="B13" t="s">
        <v>57</v>
      </c>
      <c r="C13" s="3" t="s">
        <v>58</v>
      </c>
      <c r="D13" s="3" t="s">
        <v>108</v>
      </c>
      <c r="E13" s="3" t="s">
        <v>54</v>
      </c>
      <c r="F13" s="3" t="s">
        <v>55</v>
      </c>
      <c r="G13" s="3" t="s">
        <v>38</v>
      </c>
      <c r="H13" s="3" t="s">
        <v>59</v>
      </c>
      <c r="I13" s="3">
        <v>710</v>
      </c>
      <c r="J13" s="3">
        <v>1</v>
      </c>
      <c r="K13" s="3" t="s">
        <v>35</v>
      </c>
      <c r="M13" s="3" t="s">
        <v>115</v>
      </c>
      <c r="N13" s="3">
        <f t="shared" si="1"/>
        <v>20713</v>
      </c>
      <c r="O13" s="3"/>
      <c r="Q13" s="3"/>
      <c r="R13" s="3"/>
      <c r="S13" s="3" t="s">
        <v>59</v>
      </c>
      <c r="T13" s="3">
        <f t="shared" si="2"/>
        <v>35</v>
      </c>
      <c r="U13" s="3"/>
      <c r="V13" s="3"/>
    </row>
    <row r="14" spans="1:22" x14ac:dyDescent="0.25">
      <c r="A14" s="3">
        <v>1013</v>
      </c>
      <c r="B14" t="s">
        <v>60</v>
      </c>
      <c r="C14" s="3" t="s">
        <v>12</v>
      </c>
      <c r="D14" s="3" t="s">
        <v>109</v>
      </c>
      <c r="E14" s="3" t="s">
        <v>13</v>
      </c>
      <c r="F14" s="3" t="s">
        <v>14</v>
      </c>
      <c r="G14" s="3" t="s">
        <v>38</v>
      </c>
      <c r="H14" s="3" t="s">
        <v>59</v>
      </c>
      <c r="I14" s="3">
        <v>39048</v>
      </c>
      <c r="J14" s="3">
        <v>8</v>
      </c>
      <c r="K14" s="3" t="s">
        <v>17</v>
      </c>
      <c r="M14" s="3" t="s">
        <v>116</v>
      </c>
      <c r="N14" s="3">
        <f t="shared" si="1"/>
        <v>57405</v>
      </c>
      <c r="O14" s="3"/>
      <c r="Q14" s="3"/>
      <c r="R14" s="3"/>
      <c r="S14" s="3" t="s">
        <v>41</v>
      </c>
      <c r="T14" s="3">
        <f t="shared" si="2"/>
        <v>18</v>
      </c>
      <c r="U14" s="3"/>
      <c r="V14" s="3"/>
    </row>
    <row r="15" spans="1:22" x14ac:dyDescent="0.25">
      <c r="A15" s="3">
        <v>1014</v>
      </c>
      <c r="B15" t="s">
        <v>11</v>
      </c>
      <c r="C15" s="3" t="s">
        <v>12</v>
      </c>
      <c r="D15" s="3" t="s">
        <v>112</v>
      </c>
      <c r="E15" s="3" t="s">
        <v>20</v>
      </c>
      <c r="F15" s="3" t="s">
        <v>21</v>
      </c>
      <c r="G15" s="3" t="s">
        <v>15</v>
      </c>
      <c r="H15" s="3" t="s">
        <v>28</v>
      </c>
      <c r="I15" s="3">
        <v>2093</v>
      </c>
      <c r="J15" s="3">
        <v>1</v>
      </c>
      <c r="K15" s="3" t="s">
        <v>17</v>
      </c>
      <c r="M15" s="3" t="s">
        <v>117</v>
      </c>
      <c r="N15" s="3">
        <f t="shared" si="1"/>
        <v>9816</v>
      </c>
      <c r="O15" s="3"/>
      <c r="Q15" s="3"/>
      <c r="R15" s="3"/>
      <c r="S15" s="3" t="s">
        <v>39</v>
      </c>
      <c r="T15" s="3">
        <f t="shared" si="2"/>
        <v>28</v>
      </c>
      <c r="U15" s="3"/>
      <c r="V15" s="3"/>
    </row>
    <row r="16" spans="1:22" x14ac:dyDescent="0.25">
      <c r="A16" s="3">
        <v>1015</v>
      </c>
      <c r="B16" t="s">
        <v>61</v>
      </c>
      <c r="C16" s="3" t="s">
        <v>12</v>
      </c>
      <c r="D16" s="3" t="s">
        <v>113</v>
      </c>
      <c r="E16" s="3" t="s">
        <v>20</v>
      </c>
      <c r="F16" s="3" t="s">
        <v>21</v>
      </c>
      <c r="G16" s="3" t="s">
        <v>38</v>
      </c>
      <c r="H16" s="3" t="s">
        <v>39</v>
      </c>
      <c r="I16" s="3">
        <v>3864</v>
      </c>
      <c r="J16" s="3">
        <v>7</v>
      </c>
      <c r="K16" s="3" t="s">
        <v>17</v>
      </c>
      <c r="M16" s="3" t="s">
        <v>118</v>
      </c>
      <c r="N16" s="3">
        <f t="shared" si="1"/>
        <v>21130</v>
      </c>
      <c r="O16" s="3"/>
      <c r="Q16" s="3"/>
      <c r="R16" s="3"/>
      <c r="S16" s="3" t="s">
        <v>34</v>
      </c>
      <c r="T16" s="3">
        <f t="shared" si="2"/>
        <v>12</v>
      </c>
      <c r="U16" s="3"/>
      <c r="V16" s="3"/>
    </row>
    <row r="17" spans="1:22" x14ac:dyDescent="0.25">
      <c r="A17" s="3">
        <v>1016</v>
      </c>
      <c r="B17" t="s">
        <v>62</v>
      </c>
      <c r="C17" s="3" t="s">
        <v>31</v>
      </c>
      <c r="D17" s="3" t="s">
        <v>110</v>
      </c>
      <c r="E17" s="3" t="s">
        <v>54</v>
      </c>
      <c r="F17" s="3" t="s">
        <v>55</v>
      </c>
      <c r="G17" s="3" t="s">
        <v>15</v>
      </c>
      <c r="H17" s="3" t="s">
        <v>45</v>
      </c>
      <c r="I17" s="3">
        <v>35160</v>
      </c>
      <c r="J17" s="3">
        <v>10</v>
      </c>
      <c r="K17" s="3" t="s">
        <v>24</v>
      </c>
      <c r="M17" s="3" t="s">
        <v>119</v>
      </c>
      <c r="N17" s="3">
        <f t="shared" si="1"/>
        <v>11967</v>
      </c>
      <c r="O17" s="3"/>
      <c r="Q17" s="3"/>
      <c r="R17" s="3"/>
      <c r="S17" s="3" t="s">
        <v>23</v>
      </c>
      <c r="T17" s="3">
        <f t="shared" si="2"/>
        <v>42</v>
      </c>
      <c r="U17" s="3"/>
      <c r="V17" s="3"/>
    </row>
    <row r="18" spans="1:22" x14ac:dyDescent="0.25">
      <c r="A18" s="3">
        <v>1017</v>
      </c>
      <c r="B18" t="s">
        <v>63</v>
      </c>
      <c r="C18" s="3" t="s">
        <v>44</v>
      </c>
      <c r="D18" s="3" t="s">
        <v>114</v>
      </c>
      <c r="E18" s="3" t="s">
        <v>54</v>
      </c>
      <c r="F18" s="3" t="s">
        <v>55</v>
      </c>
      <c r="G18" s="3" t="s">
        <v>15</v>
      </c>
      <c r="H18" s="3" t="s">
        <v>45</v>
      </c>
      <c r="I18" s="3">
        <v>7899</v>
      </c>
      <c r="J18" s="3">
        <v>3</v>
      </c>
      <c r="K18" s="3" t="s">
        <v>17</v>
      </c>
      <c r="M18" s="3" t="s">
        <v>120</v>
      </c>
      <c r="N18" s="3">
        <f t="shared" si="1"/>
        <v>22428</v>
      </c>
      <c r="O18" s="3"/>
      <c r="Q18" s="3"/>
      <c r="R18" s="3"/>
      <c r="S18" s="3" t="s">
        <v>74</v>
      </c>
      <c r="T18" s="3">
        <f t="shared" si="2"/>
        <v>21</v>
      </c>
      <c r="U18" s="3"/>
      <c r="V18" s="3"/>
    </row>
    <row r="19" spans="1:22" x14ac:dyDescent="0.25">
      <c r="A19" s="3">
        <v>1018</v>
      </c>
      <c r="B19" t="s">
        <v>64</v>
      </c>
      <c r="C19" s="3" t="s">
        <v>44</v>
      </c>
      <c r="D19" s="3" t="s">
        <v>115</v>
      </c>
      <c r="E19" s="3" t="s">
        <v>37</v>
      </c>
      <c r="F19" s="3" t="s">
        <v>21</v>
      </c>
      <c r="G19" s="3" t="s">
        <v>22</v>
      </c>
      <c r="H19" s="3" t="s">
        <v>34</v>
      </c>
      <c r="I19" s="3">
        <v>9140</v>
      </c>
      <c r="J19" s="3">
        <v>4</v>
      </c>
      <c r="K19" s="3" t="s">
        <v>35</v>
      </c>
      <c r="N19" s="3"/>
      <c r="O19" s="3"/>
      <c r="Q19" s="3"/>
      <c r="R19" s="3"/>
      <c r="S19" s="3" t="s">
        <v>87</v>
      </c>
      <c r="T19" s="3">
        <f t="shared" si="2"/>
        <v>17</v>
      </c>
      <c r="U19" s="3"/>
      <c r="V19" s="3"/>
    </row>
    <row r="20" spans="1:22" x14ac:dyDescent="0.25">
      <c r="A20" s="3">
        <v>1019</v>
      </c>
      <c r="B20" t="s">
        <v>65</v>
      </c>
      <c r="C20" s="3" t="s">
        <v>66</v>
      </c>
      <c r="D20" s="3" t="s">
        <v>111</v>
      </c>
      <c r="E20" s="3" t="s">
        <v>32</v>
      </c>
      <c r="F20" s="3" t="s">
        <v>33</v>
      </c>
      <c r="G20" s="3" t="s">
        <v>22</v>
      </c>
      <c r="H20" s="3" t="s">
        <v>23</v>
      </c>
      <c r="I20" s="3">
        <v>44577</v>
      </c>
      <c r="J20" s="3">
        <v>9</v>
      </c>
      <c r="K20" s="3" t="s">
        <v>17</v>
      </c>
      <c r="N20" s="3"/>
      <c r="O20" s="3"/>
      <c r="Q20" s="3"/>
      <c r="R20" s="3"/>
      <c r="S20" s="3" t="s">
        <v>94</v>
      </c>
      <c r="T20" s="3">
        <f t="shared" si="2"/>
        <v>9</v>
      </c>
      <c r="U20" s="3"/>
      <c r="V20" s="3"/>
    </row>
    <row r="21" spans="1:22" x14ac:dyDescent="0.25">
      <c r="A21" s="3">
        <v>1020</v>
      </c>
      <c r="B21" t="s">
        <v>67</v>
      </c>
      <c r="C21" s="3" t="s">
        <v>44</v>
      </c>
      <c r="D21" s="3" t="s">
        <v>116</v>
      </c>
      <c r="E21" s="3" t="s">
        <v>13</v>
      </c>
      <c r="F21" s="3" t="s">
        <v>14</v>
      </c>
      <c r="G21" s="3" t="s">
        <v>22</v>
      </c>
      <c r="H21" s="3" t="s">
        <v>23</v>
      </c>
      <c r="I21" s="3">
        <v>5478</v>
      </c>
      <c r="J21" s="3">
        <v>6</v>
      </c>
      <c r="K21" s="3" t="s">
        <v>17</v>
      </c>
      <c r="M21"/>
      <c r="P21"/>
      <c r="S21"/>
    </row>
    <row r="22" spans="1:22" x14ac:dyDescent="0.25">
      <c r="A22" s="3">
        <v>1021</v>
      </c>
      <c r="B22" t="s">
        <v>68</v>
      </c>
      <c r="C22" s="3" t="s">
        <v>12</v>
      </c>
      <c r="D22" s="3" t="s">
        <v>110</v>
      </c>
      <c r="E22" s="3" t="s">
        <v>69</v>
      </c>
      <c r="F22" s="3" t="s">
        <v>55</v>
      </c>
      <c r="G22" s="3" t="s">
        <v>15</v>
      </c>
      <c r="H22" s="3" t="s">
        <v>45</v>
      </c>
      <c r="I22" s="3">
        <v>9816</v>
      </c>
      <c r="J22" s="3">
        <v>6</v>
      </c>
      <c r="K22" s="3" t="s">
        <v>24</v>
      </c>
      <c r="M22"/>
      <c r="P22"/>
      <c r="S22"/>
    </row>
    <row r="23" spans="1:22" x14ac:dyDescent="0.25">
      <c r="A23" s="3">
        <v>1022</v>
      </c>
      <c r="B23" t="s">
        <v>70</v>
      </c>
      <c r="C23" s="3" t="s">
        <v>12</v>
      </c>
      <c r="D23" s="3" t="s">
        <v>117</v>
      </c>
      <c r="E23" s="3" t="s">
        <v>13</v>
      </c>
      <c r="F23" s="3" t="s">
        <v>14</v>
      </c>
      <c r="G23" s="3" t="s">
        <v>38</v>
      </c>
      <c r="H23" s="3" t="s">
        <v>59</v>
      </c>
      <c r="I23" s="3">
        <v>41040</v>
      </c>
      <c r="J23" s="3">
        <v>9</v>
      </c>
      <c r="K23" s="3" t="s">
        <v>17</v>
      </c>
      <c r="M23"/>
      <c r="P23"/>
      <c r="S23"/>
    </row>
    <row r="24" spans="1:22" x14ac:dyDescent="0.25">
      <c r="A24" s="3">
        <v>1023</v>
      </c>
      <c r="B24" t="s">
        <v>71</v>
      </c>
      <c r="C24" s="3" t="s">
        <v>58</v>
      </c>
      <c r="D24" s="3" t="s">
        <v>114</v>
      </c>
      <c r="E24" s="3" t="s">
        <v>69</v>
      </c>
      <c r="F24" s="3" t="s">
        <v>55</v>
      </c>
      <c r="G24" s="3" t="s">
        <v>38</v>
      </c>
      <c r="H24" s="3" t="s">
        <v>39</v>
      </c>
      <c r="I24" s="3">
        <v>2841</v>
      </c>
      <c r="J24" s="3">
        <v>3</v>
      </c>
      <c r="K24" s="3" t="s">
        <v>17</v>
      </c>
      <c r="M24"/>
      <c r="P24"/>
      <c r="S24"/>
    </row>
    <row r="25" spans="1:22" x14ac:dyDescent="0.25">
      <c r="A25" s="3">
        <v>1024</v>
      </c>
      <c r="B25" t="s">
        <v>72</v>
      </c>
      <c r="C25" s="3" t="s">
        <v>73</v>
      </c>
      <c r="D25" s="3" t="s">
        <v>110</v>
      </c>
      <c r="E25" s="3" t="s">
        <v>32</v>
      </c>
      <c r="F25" s="3" t="s">
        <v>33</v>
      </c>
      <c r="G25" s="3" t="s">
        <v>51</v>
      </c>
      <c r="H25" s="3" t="s">
        <v>74</v>
      </c>
      <c r="I25" s="3">
        <v>6432</v>
      </c>
      <c r="J25" s="3">
        <v>8</v>
      </c>
      <c r="K25" s="3" t="s">
        <v>75</v>
      </c>
      <c r="M25"/>
      <c r="P25"/>
      <c r="S25"/>
    </row>
    <row r="26" spans="1:22" x14ac:dyDescent="0.25">
      <c r="A26" s="3">
        <v>1025</v>
      </c>
      <c r="B26" t="s">
        <v>76</v>
      </c>
      <c r="C26" s="3" t="s">
        <v>66</v>
      </c>
      <c r="D26" s="3" t="s">
        <v>109</v>
      </c>
      <c r="E26" s="3" t="s">
        <v>77</v>
      </c>
      <c r="F26" s="3" t="s">
        <v>21</v>
      </c>
      <c r="G26" s="3" t="s">
        <v>38</v>
      </c>
      <c r="H26" s="3" t="s">
        <v>39</v>
      </c>
      <c r="I26" s="3">
        <v>19019</v>
      </c>
      <c r="J26" s="3">
        <v>7</v>
      </c>
      <c r="K26" s="3" t="s">
        <v>75</v>
      </c>
      <c r="M26"/>
      <c r="P26"/>
      <c r="S26"/>
    </row>
    <row r="27" spans="1:22" x14ac:dyDescent="0.25">
      <c r="A27" s="3">
        <v>1026</v>
      </c>
      <c r="B27" t="s">
        <v>78</v>
      </c>
      <c r="C27" s="3" t="s">
        <v>66</v>
      </c>
      <c r="D27" s="3" t="s">
        <v>111</v>
      </c>
      <c r="E27" s="3" t="s">
        <v>20</v>
      </c>
      <c r="F27" s="3" t="s">
        <v>21</v>
      </c>
      <c r="G27" s="3" t="s">
        <v>22</v>
      </c>
      <c r="H27" s="3" t="s">
        <v>23</v>
      </c>
      <c r="I27" s="3">
        <v>40041</v>
      </c>
      <c r="J27" s="3">
        <v>9</v>
      </c>
      <c r="K27" s="3" t="s">
        <v>35</v>
      </c>
      <c r="M27"/>
      <c r="P27"/>
      <c r="S27"/>
    </row>
    <row r="28" spans="1:22" x14ac:dyDescent="0.25">
      <c r="A28" s="3">
        <v>1027</v>
      </c>
      <c r="B28" t="s">
        <v>79</v>
      </c>
      <c r="C28" s="3" t="s">
        <v>66</v>
      </c>
      <c r="D28" s="3" t="s">
        <v>110</v>
      </c>
      <c r="E28" s="3" t="s">
        <v>69</v>
      </c>
      <c r="F28" s="3" t="s">
        <v>55</v>
      </c>
      <c r="G28" s="3" t="s">
        <v>38</v>
      </c>
      <c r="H28" s="3" t="s">
        <v>49</v>
      </c>
      <c r="I28" s="3">
        <v>5787</v>
      </c>
      <c r="J28" s="3">
        <v>9</v>
      </c>
      <c r="K28" s="3" t="s">
        <v>75</v>
      </c>
      <c r="M28"/>
      <c r="P28"/>
      <c r="S28"/>
    </row>
    <row r="29" spans="1:22" x14ac:dyDescent="0.25">
      <c r="A29" s="3">
        <v>1028</v>
      </c>
      <c r="B29" t="s">
        <v>80</v>
      </c>
      <c r="C29" s="3" t="s">
        <v>19</v>
      </c>
      <c r="D29" s="3" t="s">
        <v>113</v>
      </c>
      <c r="E29" s="3" t="s">
        <v>13</v>
      </c>
      <c r="F29" s="3" t="s">
        <v>14</v>
      </c>
      <c r="G29" s="3" t="s">
        <v>51</v>
      </c>
      <c r="H29" s="3" t="s">
        <v>74</v>
      </c>
      <c r="I29" s="3">
        <v>18008</v>
      </c>
      <c r="J29" s="3">
        <v>8</v>
      </c>
      <c r="K29" s="3" t="s">
        <v>42</v>
      </c>
      <c r="M29"/>
      <c r="P29"/>
      <c r="S29"/>
    </row>
    <row r="30" spans="1:22" x14ac:dyDescent="0.25">
      <c r="A30" s="3">
        <v>1029</v>
      </c>
      <c r="B30" t="s">
        <v>81</v>
      </c>
      <c r="C30" s="3" t="s">
        <v>31</v>
      </c>
      <c r="D30" s="3" t="s">
        <v>106</v>
      </c>
      <c r="E30" s="3" t="s">
        <v>13</v>
      </c>
      <c r="F30" s="3" t="s">
        <v>14</v>
      </c>
      <c r="G30" s="3" t="s">
        <v>22</v>
      </c>
      <c r="H30" s="3" t="s">
        <v>34</v>
      </c>
      <c r="I30" s="3">
        <v>3980</v>
      </c>
      <c r="J30" s="3">
        <v>4</v>
      </c>
      <c r="K30" s="3" t="s">
        <v>35</v>
      </c>
      <c r="M30"/>
      <c r="P30"/>
      <c r="S30"/>
    </row>
    <row r="31" spans="1:22" x14ac:dyDescent="0.25">
      <c r="A31" s="3">
        <v>1030</v>
      </c>
      <c r="B31" t="s">
        <v>82</v>
      </c>
      <c r="C31" s="3" t="s">
        <v>31</v>
      </c>
      <c r="D31" s="3" t="s">
        <v>115</v>
      </c>
      <c r="E31" s="3" t="s">
        <v>20</v>
      </c>
      <c r="F31" s="3" t="s">
        <v>21</v>
      </c>
      <c r="G31" s="3" t="s">
        <v>51</v>
      </c>
      <c r="H31" s="3" t="s">
        <v>52</v>
      </c>
      <c r="I31" s="3">
        <v>3549</v>
      </c>
      <c r="J31" s="3">
        <v>1</v>
      </c>
      <c r="K31" s="3" t="s">
        <v>24</v>
      </c>
      <c r="M31"/>
      <c r="P31"/>
      <c r="S31"/>
    </row>
    <row r="32" spans="1:22" x14ac:dyDescent="0.25">
      <c r="A32" s="3">
        <v>1031</v>
      </c>
      <c r="B32" t="s">
        <v>83</v>
      </c>
      <c r="C32" s="3" t="s">
        <v>84</v>
      </c>
      <c r="D32" s="3" t="s">
        <v>108</v>
      </c>
      <c r="E32" s="3" t="s">
        <v>77</v>
      </c>
      <c r="F32" s="3" t="s">
        <v>21</v>
      </c>
      <c r="G32" s="3" t="s">
        <v>38</v>
      </c>
      <c r="H32" s="3" t="s">
        <v>49</v>
      </c>
      <c r="I32" s="3">
        <v>2968</v>
      </c>
      <c r="J32" s="3">
        <v>1</v>
      </c>
      <c r="K32" s="3" t="s">
        <v>17</v>
      </c>
      <c r="M32"/>
      <c r="P32"/>
      <c r="S32"/>
    </row>
    <row r="33" spans="1:19" x14ac:dyDescent="0.25">
      <c r="A33" s="3">
        <v>1032</v>
      </c>
      <c r="B33" t="s">
        <v>85</v>
      </c>
      <c r="C33" s="3" t="s">
        <v>31</v>
      </c>
      <c r="D33" s="3" t="s">
        <v>105</v>
      </c>
      <c r="E33" s="3" t="s">
        <v>32</v>
      </c>
      <c r="F33" s="3" t="s">
        <v>33</v>
      </c>
      <c r="G33" s="3" t="s">
        <v>38</v>
      </c>
      <c r="H33" s="3" t="s">
        <v>39</v>
      </c>
      <c r="I33" s="3">
        <v>28315</v>
      </c>
      <c r="J33" s="3">
        <v>7</v>
      </c>
      <c r="K33" s="3" t="s">
        <v>17</v>
      </c>
      <c r="M33"/>
      <c r="P33"/>
      <c r="S33"/>
    </row>
    <row r="34" spans="1:19" x14ac:dyDescent="0.25">
      <c r="A34" s="3">
        <v>1033</v>
      </c>
      <c r="B34" t="s">
        <v>86</v>
      </c>
      <c r="C34" s="3" t="s">
        <v>19</v>
      </c>
      <c r="D34" s="3" t="s">
        <v>113</v>
      </c>
      <c r="E34" s="3" t="s">
        <v>37</v>
      </c>
      <c r="F34" s="3" t="s">
        <v>21</v>
      </c>
      <c r="G34" s="3" t="s">
        <v>22</v>
      </c>
      <c r="H34" s="3" t="s">
        <v>87</v>
      </c>
      <c r="I34" s="3">
        <v>8834</v>
      </c>
      <c r="J34" s="3">
        <v>7</v>
      </c>
      <c r="K34" s="3" t="s">
        <v>29</v>
      </c>
      <c r="M34"/>
      <c r="P34"/>
      <c r="S34"/>
    </row>
    <row r="35" spans="1:19" x14ac:dyDescent="0.25">
      <c r="A35" s="3">
        <v>1034</v>
      </c>
      <c r="B35" t="s">
        <v>88</v>
      </c>
      <c r="C35" s="3" t="s">
        <v>48</v>
      </c>
      <c r="D35" s="3" t="s">
        <v>115</v>
      </c>
      <c r="E35" s="3" t="s">
        <v>77</v>
      </c>
      <c r="F35" s="3" t="s">
        <v>21</v>
      </c>
      <c r="G35" s="3" t="s">
        <v>38</v>
      </c>
      <c r="H35" s="3" t="s">
        <v>41</v>
      </c>
      <c r="I35" s="3">
        <v>12828</v>
      </c>
      <c r="J35" s="3">
        <v>4</v>
      </c>
      <c r="K35" s="3" t="s">
        <v>42</v>
      </c>
      <c r="M35"/>
      <c r="P35"/>
      <c r="S35"/>
    </row>
    <row r="36" spans="1:19" x14ac:dyDescent="0.25">
      <c r="A36" s="3">
        <v>1035</v>
      </c>
      <c r="B36" t="s">
        <v>89</v>
      </c>
      <c r="C36" s="3" t="s">
        <v>48</v>
      </c>
      <c r="D36" s="3" t="s">
        <v>116</v>
      </c>
      <c r="E36" s="3" t="s">
        <v>77</v>
      </c>
      <c r="F36" s="3" t="s">
        <v>21</v>
      </c>
      <c r="G36" s="3" t="s">
        <v>15</v>
      </c>
      <c r="H36" s="3" t="s">
        <v>45</v>
      </c>
      <c r="I36" s="3">
        <v>21130</v>
      </c>
      <c r="J36" s="3">
        <v>5</v>
      </c>
      <c r="K36" s="3" t="s">
        <v>35</v>
      </c>
      <c r="M36"/>
      <c r="P36"/>
      <c r="S36"/>
    </row>
    <row r="37" spans="1:19" x14ac:dyDescent="0.25">
      <c r="A37" s="3">
        <v>1036</v>
      </c>
      <c r="B37" t="s">
        <v>90</v>
      </c>
      <c r="C37" s="3" t="s">
        <v>31</v>
      </c>
      <c r="D37" s="3" t="s">
        <v>118</v>
      </c>
      <c r="E37" s="3" t="s">
        <v>69</v>
      </c>
      <c r="F37" s="3" t="s">
        <v>55</v>
      </c>
      <c r="G37" s="3" t="s">
        <v>15</v>
      </c>
      <c r="H37" s="3" t="s">
        <v>28</v>
      </c>
      <c r="I37" s="3">
        <v>11967</v>
      </c>
      <c r="J37" s="3">
        <v>3</v>
      </c>
      <c r="K37" s="3" t="s">
        <v>24</v>
      </c>
      <c r="M37"/>
      <c r="P37"/>
      <c r="S37"/>
    </row>
    <row r="38" spans="1:19" x14ac:dyDescent="0.25">
      <c r="A38" s="3">
        <v>1037</v>
      </c>
      <c r="B38" t="s">
        <v>91</v>
      </c>
      <c r="C38" s="3" t="s">
        <v>73</v>
      </c>
      <c r="D38" s="3" t="s">
        <v>119</v>
      </c>
      <c r="E38" s="3" t="s">
        <v>13</v>
      </c>
      <c r="F38" s="3" t="s">
        <v>14</v>
      </c>
      <c r="G38" s="3" t="s">
        <v>22</v>
      </c>
      <c r="H38" s="3" t="s">
        <v>87</v>
      </c>
      <c r="I38" s="3">
        <v>8409</v>
      </c>
      <c r="J38" s="3">
        <v>3</v>
      </c>
      <c r="K38" s="3" t="s">
        <v>35</v>
      </c>
      <c r="M38"/>
      <c r="P38"/>
      <c r="S38"/>
    </row>
    <row r="39" spans="1:19" x14ac:dyDescent="0.25">
      <c r="A39" s="3">
        <v>1038</v>
      </c>
      <c r="B39" t="s">
        <v>53</v>
      </c>
      <c r="C39" s="3" t="s">
        <v>48</v>
      </c>
      <c r="D39" s="3" t="s">
        <v>111</v>
      </c>
      <c r="E39" s="3" t="s">
        <v>37</v>
      </c>
      <c r="F39" s="3" t="s">
        <v>21</v>
      </c>
      <c r="G39" s="3" t="s">
        <v>22</v>
      </c>
      <c r="H39" s="3" t="s">
        <v>23</v>
      </c>
      <c r="I39" s="3">
        <v>37480</v>
      </c>
      <c r="J39" s="3">
        <v>10</v>
      </c>
      <c r="K39" s="3" t="s">
        <v>29</v>
      </c>
      <c r="M39"/>
      <c r="P39"/>
      <c r="S39"/>
    </row>
    <row r="40" spans="1:19" x14ac:dyDescent="0.25">
      <c r="A40" s="3">
        <v>1039</v>
      </c>
      <c r="B40" t="s">
        <v>92</v>
      </c>
      <c r="C40" s="3" t="s">
        <v>19</v>
      </c>
      <c r="D40" s="3" t="s">
        <v>110</v>
      </c>
      <c r="E40" s="3" t="s">
        <v>37</v>
      </c>
      <c r="F40" s="3" t="s">
        <v>21</v>
      </c>
      <c r="G40" s="3" t="s">
        <v>22</v>
      </c>
      <c r="H40" s="3" t="s">
        <v>87</v>
      </c>
      <c r="I40" s="3">
        <v>32914</v>
      </c>
      <c r="J40" s="3">
        <v>7</v>
      </c>
      <c r="K40" s="3" t="s">
        <v>24</v>
      </c>
      <c r="M40"/>
      <c r="P40"/>
      <c r="S40"/>
    </row>
    <row r="41" spans="1:19" x14ac:dyDescent="0.25">
      <c r="A41" s="3">
        <v>1040</v>
      </c>
      <c r="B41" t="s">
        <v>93</v>
      </c>
      <c r="C41" s="3" t="s">
        <v>44</v>
      </c>
      <c r="D41" s="3" t="s">
        <v>104</v>
      </c>
      <c r="E41" s="3" t="s">
        <v>32</v>
      </c>
      <c r="F41" s="3" t="s">
        <v>33</v>
      </c>
      <c r="G41" s="3" t="s">
        <v>51</v>
      </c>
      <c r="H41" s="3" t="s">
        <v>94</v>
      </c>
      <c r="I41" s="3">
        <v>22428</v>
      </c>
      <c r="J41" s="3">
        <v>9</v>
      </c>
      <c r="K41" s="3" t="s">
        <v>24</v>
      </c>
      <c r="M41"/>
      <c r="P41"/>
      <c r="S41"/>
    </row>
    <row r="42" spans="1:19" x14ac:dyDescent="0.25">
      <c r="A42" s="3">
        <v>1041</v>
      </c>
      <c r="B42" t="s">
        <v>95</v>
      </c>
      <c r="C42" s="3" t="s">
        <v>66</v>
      </c>
      <c r="D42" s="3" t="s">
        <v>120</v>
      </c>
      <c r="E42" s="3" t="s">
        <v>13</v>
      </c>
      <c r="F42" s="3" t="s">
        <v>14</v>
      </c>
      <c r="G42" s="3" t="s">
        <v>22</v>
      </c>
      <c r="H42" s="3" t="s">
        <v>23</v>
      </c>
      <c r="I42" s="3">
        <v>7335</v>
      </c>
      <c r="J42" s="3">
        <v>3</v>
      </c>
      <c r="K42" s="3" t="s">
        <v>29</v>
      </c>
      <c r="M42"/>
      <c r="P42"/>
      <c r="S42"/>
    </row>
    <row r="43" spans="1:19" x14ac:dyDescent="0.25">
      <c r="A43" s="3">
        <v>1042</v>
      </c>
      <c r="B43" t="s">
        <v>96</v>
      </c>
      <c r="C43" s="3" t="s">
        <v>31</v>
      </c>
      <c r="D43" s="3" t="s">
        <v>109</v>
      </c>
      <c r="E43" s="3" t="s">
        <v>54</v>
      </c>
      <c r="F43" s="3" t="s">
        <v>55</v>
      </c>
      <c r="G43" s="3" t="s">
        <v>38</v>
      </c>
      <c r="H43" s="3" t="s">
        <v>41</v>
      </c>
      <c r="I43" s="3">
        <v>35433</v>
      </c>
      <c r="J43" s="3">
        <v>9</v>
      </c>
      <c r="K43" s="3" t="s">
        <v>24</v>
      </c>
      <c r="M43"/>
      <c r="P43"/>
      <c r="S43"/>
    </row>
    <row r="44" spans="1:19" x14ac:dyDescent="0.25">
      <c r="A44" s="3">
        <v>1043</v>
      </c>
      <c r="B44" t="s">
        <v>97</v>
      </c>
      <c r="C44" s="3" t="s">
        <v>73</v>
      </c>
      <c r="D44" s="3" t="s">
        <v>104</v>
      </c>
      <c r="E44" s="3" t="s">
        <v>20</v>
      </c>
      <c r="F44" s="3" t="s">
        <v>21</v>
      </c>
      <c r="G44" s="3" t="s">
        <v>38</v>
      </c>
      <c r="H44" s="3" t="s">
        <v>59</v>
      </c>
      <c r="I44" s="3">
        <v>9279</v>
      </c>
      <c r="J44" s="3">
        <v>3</v>
      </c>
      <c r="K44" s="3" t="s">
        <v>29</v>
      </c>
      <c r="M44"/>
      <c r="P44"/>
      <c r="S44"/>
    </row>
    <row r="45" spans="1:19" x14ac:dyDescent="0.25">
      <c r="A45" s="3">
        <v>1044</v>
      </c>
      <c r="B45" t="s">
        <v>98</v>
      </c>
      <c r="C45" s="3" t="s">
        <v>44</v>
      </c>
      <c r="D45" s="3" t="s">
        <v>104</v>
      </c>
      <c r="E45" s="3" t="s">
        <v>27</v>
      </c>
      <c r="F45" s="3" t="s">
        <v>14</v>
      </c>
      <c r="G45" s="3" t="s">
        <v>38</v>
      </c>
      <c r="H45" s="3" t="s">
        <v>59</v>
      </c>
      <c r="I45" s="3">
        <v>9980</v>
      </c>
      <c r="J45" s="3">
        <v>5</v>
      </c>
      <c r="K45" s="3" t="s">
        <v>35</v>
      </c>
      <c r="M45"/>
      <c r="P45"/>
      <c r="S45"/>
    </row>
    <row r="46" spans="1:19" x14ac:dyDescent="0.25">
      <c r="A46" s="3">
        <v>1045</v>
      </c>
      <c r="B46" t="s">
        <v>99</v>
      </c>
      <c r="C46" s="3" t="s">
        <v>44</v>
      </c>
      <c r="D46" s="3" t="s">
        <v>104</v>
      </c>
      <c r="E46" s="3" t="s">
        <v>77</v>
      </c>
      <c r="F46" s="3" t="s">
        <v>21</v>
      </c>
      <c r="G46" s="3" t="s">
        <v>51</v>
      </c>
      <c r="H46" s="3" t="s">
        <v>52</v>
      </c>
      <c r="I46" s="3">
        <v>20632</v>
      </c>
      <c r="J46" s="3">
        <v>8</v>
      </c>
      <c r="K46" s="3" t="s">
        <v>42</v>
      </c>
      <c r="M46"/>
      <c r="P46"/>
      <c r="S46"/>
    </row>
    <row r="47" spans="1:19" x14ac:dyDescent="0.25">
      <c r="A47" s="3">
        <v>1046</v>
      </c>
      <c r="B47" t="s">
        <v>100</v>
      </c>
      <c r="C47" s="3" t="s">
        <v>66</v>
      </c>
      <c r="D47" s="3" t="s">
        <v>112</v>
      </c>
      <c r="E47" s="3" t="s">
        <v>77</v>
      </c>
      <c r="F47" s="3" t="s">
        <v>21</v>
      </c>
      <c r="G47" s="3" t="s">
        <v>51</v>
      </c>
      <c r="H47" s="3" t="s">
        <v>52</v>
      </c>
      <c r="I47" s="3">
        <v>7702</v>
      </c>
      <c r="J47" s="3">
        <v>2</v>
      </c>
      <c r="K47" s="3" t="s">
        <v>35</v>
      </c>
      <c r="M47"/>
      <c r="P47"/>
      <c r="S47"/>
    </row>
    <row r="48" spans="1:19" x14ac:dyDescent="0.25">
      <c r="A48" s="3">
        <v>1047</v>
      </c>
      <c r="B48" t="s">
        <v>101</v>
      </c>
      <c r="C48" s="3" t="s">
        <v>58</v>
      </c>
      <c r="D48" s="3" t="s">
        <v>107</v>
      </c>
      <c r="E48" s="3" t="s">
        <v>32</v>
      </c>
      <c r="F48" s="3" t="s">
        <v>33</v>
      </c>
      <c r="G48" s="3" t="s">
        <v>38</v>
      </c>
      <c r="H48" s="3" t="s">
        <v>49</v>
      </c>
      <c r="I48" s="3">
        <v>13248</v>
      </c>
      <c r="J48" s="3">
        <v>9</v>
      </c>
      <c r="K48" s="3" t="s">
        <v>24</v>
      </c>
      <c r="M48"/>
      <c r="P48"/>
      <c r="S48"/>
    </row>
    <row r="49" spans="1:19" x14ac:dyDescent="0.25">
      <c r="A49" s="3">
        <v>1048</v>
      </c>
      <c r="B49" t="s">
        <v>102</v>
      </c>
      <c r="C49" s="3" t="s">
        <v>26</v>
      </c>
      <c r="D49" s="3" t="s">
        <v>111</v>
      </c>
      <c r="E49" s="3" t="s">
        <v>13</v>
      </c>
      <c r="F49" s="3" t="s">
        <v>14</v>
      </c>
      <c r="G49" s="3" t="s">
        <v>38</v>
      </c>
      <c r="H49" s="3" t="s">
        <v>59</v>
      </c>
      <c r="I49" s="3">
        <v>12528</v>
      </c>
      <c r="J49" s="3">
        <v>9</v>
      </c>
      <c r="K49" s="3" t="s">
        <v>29</v>
      </c>
      <c r="M49"/>
      <c r="P49"/>
      <c r="S49"/>
    </row>
    <row r="50" spans="1:19" x14ac:dyDescent="0.25">
      <c r="A50" s="3">
        <v>1049</v>
      </c>
      <c r="B50" t="s">
        <v>64</v>
      </c>
      <c r="C50" s="3" t="s">
        <v>44</v>
      </c>
      <c r="D50" s="3" t="s">
        <v>107</v>
      </c>
      <c r="E50" s="3" t="s">
        <v>69</v>
      </c>
      <c r="F50" s="3" t="s">
        <v>55</v>
      </c>
      <c r="G50" s="3" t="s">
        <v>51</v>
      </c>
      <c r="H50" s="3" t="s">
        <v>74</v>
      </c>
      <c r="I50" s="3">
        <v>23240</v>
      </c>
      <c r="J50" s="3">
        <v>5</v>
      </c>
      <c r="K50" s="3" t="s">
        <v>24</v>
      </c>
      <c r="M50"/>
      <c r="P50"/>
      <c r="S50"/>
    </row>
    <row r="51" spans="1:19" x14ac:dyDescent="0.25">
      <c r="A51" s="3">
        <v>1050</v>
      </c>
      <c r="B51" t="s">
        <v>103</v>
      </c>
      <c r="C51" s="3" t="s">
        <v>84</v>
      </c>
      <c r="D51" s="3" t="s">
        <v>106</v>
      </c>
      <c r="E51" s="3" t="s">
        <v>20</v>
      </c>
      <c r="F51" s="3" t="s">
        <v>21</v>
      </c>
      <c r="G51" s="3" t="s">
        <v>15</v>
      </c>
      <c r="H51" s="3" t="s">
        <v>28</v>
      </c>
      <c r="I51" s="3">
        <v>12498</v>
      </c>
      <c r="J51" s="3">
        <v>3</v>
      </c>
      <c r="K51" s="3" t="s">
        <v>24</v>
      </c>
      <c r="M51"/>
      <c r="P51"/>
      <c r="S51"/>
    </row>
  </sheetData>
  <conditionalFormatting sqref="D2:D51">
    <cfRule type="colorScale" priority="2">
      <colorScale>
        <cfvo type="min"/>
        <cfvo type="percentile" val="50"/>
        <cfvo type="max"/>
        <color rgb="FF63BE7B"/>
        <color rgb="FFFCFCFF"/>
        <color rgb="FFF8696B"/>
      </colorScale>
    </cfRule>
  </conditionalFormatting>
  <conditionalFormatting sqref="M2:M18">
    <cfRule type="colorScale" priority="1">
      <colorScale>
        <cfvo type="min"/>
        <cfvo type="percentile" val="50"/>
        <cfvo type="max"/>
        <color rgb="FF63BE7B"/>
        <color rgb="FFFCFCFF"/>
        <color rgb="FFF8696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Dashboard2</vt:lpstr>
      <vt:lpstr>Clint</vt:lpstr>
      <vt:lpstr>Control</vt:lpstr>
      <vt:lpstr>Processing</vt:lpstr>
      <vt:lpstr>Dashboard</vt:lpstr>
      <vt:lpstr>Summary</vt:lpstr>
      <vt:lpstr>Sales Data</vt:lpstr>
      <vt:lpstr>MyData</vt:lpstr>
      <vt:lpstr>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rajhk281099@gmail.com</cp:lastModifiedBy>
  <dcterms:created xsi:type="dcterms:W3CDTF">2026-03-17T17:42:16Z</dcterms:created>
  <dcterms:modified xsi:type="dcterms:W3CDTF">2026-03-24T08:35:55Z</dcterms:modified>
</cp:coreProperties>
</file>